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4b500a870366ee/Desktop/MOTOR KÖRA/"/>
    </mc:Choice>
  </mc:AlternateContent>
  <xr:revisionPtr revIDLastSave="1696" documentId="11_17B6940345E37B3C5667001EC3B1D9849334B39F" xr6:coauthVersionLast="47" xr6:coauthVersionMax="47" xr10:uidLastSave="{9C103366-FFFD-4D6F-9256-5DD2D98F67F0}"/>
  <bookViews>
    <workbookView xWindow="-110" yWindow="-110" windowWidth="19420" windowHeight="11500" firstSheet="6" activeTab="8" xr2:uid="{00000000-000D-0000-FFFF-FFFF00000000}"/>
  </bookViews>
  <sheets>
    <sheet name="GUIA_MVP" sheetId="1" r:id="rId1"/>
    <sheet name="EDT" sheetId="2" r:id="rId2"/>
    <sheet name="PARAMETROS" sheetId="3" r:id="rId3"/>
    <sheet name="VARIABLES_CALCULADAS" sheetId="12" r:id="rId4"/>
    <sheet name="PAQUETE_PK" sheetId="5" r:id="rId5"/>
    <sheet name="RENDIMIENTOS_BASE" sheetId="6" r:id="rId6"/>
    <sheet name="RECURSOS_PRECIOS" sheetId="7" r:id="rId7"/>
    <sheet name="APU_DETALLE" sheetId="8" r:id="rId8"/>
    <sheet name="RESUMEN_EDT" sheetId="10" r:id="rId9"/>
    <sheet name="CONTROL" sheetId="11" r:id="rId10"/>
    <sheet name="Hoja1" sheetId="13" r:id="rId11"/>
  </sheets>
  <definedNames>
    <definedName name="_xlnm._FilterDatabase" localSheetId="7" hidden="1">APU_DETALLE!$A$1:$K$65</definedName>
    <definedName name="_xlnm._FilterDatabase" localSheetId="4" hidden="1">PAQUETE_PK!$A$1:$I$24</definedName>
    <definedName name="_xlnm._FilterDatabase" localSheetId="2" hidden="1">PARAMETROS!$A$1:$G$34</definedName>
    <definedName name="_xlnm._FilterDatabase" localSheetId="5" hidden="1">RENDIMIENTOS_BASE!$A$1:$K$74</definedName>
    <definedName name="_xlnm._FilterDatabase" localSheetId="3" hidden="1">VARIABLES_CALCULADAS!$A$1:$G$8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5" l="1"/>
  <c r="G23" i="5"/>
  <c r="G22" i="5"/>
  <c r="H68" i="6"/>
  <c r="H67" i="6"/>
  <c r="H66" i="6"/>
  <c r="A63" i="8"/>
  <c r="B63" i="8"/>
  <c r="C63" i="8"/>
  <c r="D63" i="8"/>
  <c r="K63" i="8" s="1"/>
  <c r="E63" i="8"/>
  <c r="F63" i="8"/>
  <c r="G63" i="8"/>
  <c r="I63" i="8"/>
  <c r="A64" i="8"/>
  <c r="B64" i="8"/>
  <c r="C64" i="8"/>
  <c r="D64" i="8"/>
  <c r="E64" i="8"/>
  <c r="F64" i="8"/>
  <c r="G64" i="8"/>
  <c r="I64" i="8"/>
  <c r="K64" i="8"/>
  <c r="A65" i="8"/>
  <c r="B65" i="8"/>
  <c r="C65" i="8"/>
  <c r="D65" i="8"/>
  <c r="G65" i="8" s="1"/>
  <c r="H65" i="6"/>
  <c r="H64" i="6"/>
  <c r="H63" i="6"/>
  <c r="A8" i="10"/>
  <c r="B8" i="10"/>
  <c r="C8" i="10"/>
  <c r="D8" i="10"/>
  <c r="E8" i="10"/>
  <c r="F8" i="10"/>
  <c r="A61" i="8"/>
  <c r="B61" i="8"/>
  <c r="C61" i="8"/>
  <c r="D61" i="8"/>
  <c r="E61" i="8" s="1"/>
  <c r="A62" i="8"/>
  <c r="B62" i="8"/>
  <c r="C62" i="8"/>
  <c r="D62" i="8"/>
  <c r="F62" i="8" s="1"/>
  <c r="E62" i="8"/>
  <c r="H61" i="6"/>
  <c r="G21" i="5"/>
  <c r="G69" i="6" s="1"/>
  <c r="J69" i="6" s="1"/>
  <c r="G20" i="5"/>
  <c r="G66" i="6" s="1"/>
  <c r="J66" i="6" s="1"/>
  <c r="G19" i="5"/>
  <c r="G64" i="6" s="1"/>
  <c r="F8" i="2"/>
  <c r="A55" i="8"/>
  <c r="B55" i="8"/>
  <c r="C55" i="8"/>
  <c r="D55" i="8"/>
  <c r="I55" i="8" s="1"/>
  <c r="E55" i="8"/>
  <c r="A56" i="8"/>
  <c r="B56" i="8"/>
  <c r="C56" i="8"/>
  <c r="D56" i="8"/>
  <c r="G56" i="8" s="1"/>
  <c r="E56" i="8"/>
  <c r="F56" i="8"/>
  <c r="A57" i="8"/>
  <c r="B57" i="8"/>
  <c r="C57" i="8"/>
  <c r="D57" i="8"/>
  <c r="G57" i="8" s="1"/>
  <c r="K57" i="8"/>
  <c r="A58" i="8"/>
  <c r="B58" i="8"/>
  <c r="C58" i="8"/>
  <c r="D58" i="8"/>
  <c r="E58" i="8" s="1"/>
  <c r="A59" i="8"/>
  <c r="B59" i="8"/>
  <c r="C59" i="8"/>
  <c r="D59" i="8"/>
  <c r="G59" i="8" s="1"/>
  <c r="E59" i="8"/>
  <c r="A60" i="8"/>
  <c r="B60" i="8"/>
  <c r="C60" i="8"/>
  <c r="D60" i="8"/>
  <c r="K60" i="8" s="1"/>
  <c r="A51" i="8"/>
  <c r="B51" i="8"/>
  <c r="C51" i="8"/>
  <c r="D51" i="8"/>
  <c r="E51" i="8" s="1"/>
  <c r="G51" i="8"/>
  <c r="A52" i="8"/>
  <c r="B52" i="8"/>
  <c r="C52" i="8"/>
  <c r="D52" i="8"/>
  <c r="E52" i="8" s="1"/>
  <c r="F52" i="8"/>
  <c r="A53" i="8"/>
  <c r="B53" i="8"/>
  <c r="C53" i="8"/>
  <c r="D53" i="8"/>
  <c r="G53" i="8" s="1"/>
  <c r="A54" i="8"/>
  <c r="B54" i="8"/>
  <c r="C54" i="8"/>
  <c r="D54" i="8"/>
  <c r="K54" i="8" s="1"/>
  <c r="H54" i="6"/>
  <c r="H53" i="6"/>
  <c r="H52" i="6"/>
  <c r="H51" i="6"/>
  <c r="A48" i="8"/>
  <c r="B48" i="8"/>
  <c r="C48" i="8"/>
  <c r="D48" i="8"/>
  <c r="F48" i="8" s="1"/>
  <c r="A49" i="8"/>
  <c r="B49" i="8"/>
  <c r="C49" i="8"/>
  <c r="D49" i="8"/>
  <c r="E49" i="8" s="1"/>
  <c r="A50" i="8"/>
  <c r="B50" i="8"/>
  <c r="C50" i="8"/>
  <c r="D50" i="8"/>
  <c r="I50" i="8" s="1"/>
  <c r="E50" i="8"/>
  <c r="F50" i="8"/>
  <c r="A46" i="8"/>
  <c r="B46" i="8"/>
  <c r="C46" i="8"/>
  <c r="D46" i="8"/>
  <c r="F46" i="8" s="1"/>
  <c r="A47" i="8"/>
  <c r="B47" i="8"/>
  <c r="C47" i="8"/>
  <c r="D47" i="8"/>
  <c r="E47" i="8" s="1"/>
  <c r="A45" i="8"/>
  <c r="B45" i="8"/>
  <c r="C45" i="8"/>
  <c r="D45" i="8"/>
  <c r="G45" i="8" s="1"/>
  <c r="E3" i="10"/>
  <c r="E4" i="10"/>
  <c r="E5" i="10"/>
  <c r="E6" i="10"/>
  <c r="E7" i="10"/>
  <c r="F7" i="10"/>
  <c r="D7" i="10"/>
  <c r="C7" i="10"/>
  <c r="B7" i="10"/>
  <c r="A7" i="10"/>
  <c r="A44" i="8"/>
  <c r="B44" i="8"/>
  <c r="C44" i="8"/>
  <c r="D44" i="8"/>
  <c r="F44" i="8" s="1"/>
  <c r="F8" i="12"/>
  <c r="G18" i="5" s="1"/>
  <c r="G17" i="5"/>
  <c r="G51" i="6" s="1"/>
  <c r="J51" i="6" s="1"/>
  <c r="H51" i="8" s="1"/>
  <c r="F7" i="12"/>
  <c r="G16" i="5" s="1"/>
  <c r="G46" i="6" s="1"/>
  <c r="J46" i="6" s="1"/>
  <c r="H46" i="8" s="1"/>
  <c r="F6" i="12"/>
  <c r="G15" i="5" s="1"/>
  <c r="G44" i="6" s="1"/>
  <c r="J44" i="6" s="1"/>
  <c r="H44" i="8" s="1"/>
  <c r="G55" i="8" l="1"/>
  <c r="F55" i="8"/>
  <c r="E46" i="8"/>
  <c r="K61" i="8"/>
  <c r="G61" i="8"/>
  <c r="K48" i="8"/>
  <c r="E48" i="8"/>
  <c r="F61" i="8"/>
  <c r="E65" i="8"/>
  <c r="G62" i="6"/>
  <c r="J62" i="6" s="1"/>
  <c r="H62" i="8" s="1"/>
  <c r="G65" i="6"/>
  <c r="J65" i="6" s="1"/>
  <c r="H65" i="8" s="1"/>
  <c r="G63" i="6"/>
  <c r="J63" i="6" s="1"/>
  <c r="H63" i="8" s="1"/>
  <c r="J63" i="8" s="1"/>
  <c r="G68" i="6"/>
  <c r="J68" i="6" s="1"/>
  <c r="G74" i="6"/>
  <c r="J74" i="6" s="1"/>
  <c r="G71" i="6"/>
  <c r="J71" i="6" s="1"/>
  <c r="G70" i="6"/>
  <c r="J70" i="6" s="1"/>
  <c r="G73" i="6"/>
  <c r="J73" i="6" s="1"/>
  <c r="G61" i="6"/>
  <c r="J61" i="6" s="1"/>
  <c r="H61" i="8" s="1"/>
  <c r="G72" i="6"/>
  <c r="J72" i="6" s="1"/>
  <c r="G67" i="6"/>
  <c r="J67" i="6" s="1"/>
  <c r="J64" i="6"/>
  <c r="H64" i="8" s="1"/>
  <c r="J64" i="8" s="1"/>
  <c r="F65" i="8"/>
  <c r="K65" i="8"/>
  <c r="I65" i="8"/>
  <c r="K47" i="8"/>
  <c r="K58" i="8"/>
  <c r="I47" i="8"/>
  <c r="I60" i="8"/>
  <c r="I58" i="8"/>
  <c r="G47" i="8"/>
  <c r="G60" i="8"/>
  <c r="G58" i="8"/>
  <c r="F47" i="8"/>
  <c r="F60" i="8"/>
  <c r="F58" i="8"/>
  <c r="G50" i="8"/>
  <c r="E60" i="8"/>
  <c r="K46" i="8"/>
  <c r="I46" i="8"/>
  <c r="J46" i="8" s="1"/>
  <c r="F57" i="8"/>
  <c r="K62" i="8"/>
  <c r="G46" i="8"/>
  <c r="E57" i="8"/>
  <c r="I62" i="8"/>
  <c r="I61" i="8"/>
  <c r="G62" i="8"/>
  <c r="G56" i="6"/>
  <c r="J56" i="6" s="1"/>
  <c r="H56" i="8" s="1"/>
  <c r="G59" i="6"/>
  <c r="J59" i="6" s="1"/>
  <c r="H59" i="8" s="1"/>
  <c r="G60" i="6"/>
  <c r="J60" i="6" s="1"/>
  <c r="H60" i="8" s="1"/>
  <c r="G54" i="6"/>
  <c r="J54" i="6" s="1"/>
  <c r="H54" i="8" s="1"/>
  <c r="G53" i="6"/>
  <c r="J53" i="6" s="1"/>
  <c r="H53" i="8" s="1"/>
  <c r="G49" i="6"/>
  <c r="J49" i="6" s="1"/>
  <c r="H49" i="8" s="1"/>
  <c r="G47" i="6"/>
  <c r="J47" i="6" s="1"/>
  <c r="H47" i="8" s="1"/>
  <c r="G48" i="6"/>
  <c r="J48" i="6" s="1"/>
  <c r="H48" i="8" s="1"/>
  <c r="G50" i="6"/>
  <c r="J50" i="6" s="1"/>
  <c r="H50" i="8" s="1"/>
  <c r="J50" i="8" s="1"/>
  <c r="G52" i="6"/>
  <c r="J52" i="6" s="1"/>
  <c r="H52" i="8" s="1"/>
  <c r="G45" i="6"/>
  <c r="J45" i="6" s="1"/>
  <c r="H45" i="8" s="1"/>
  <c r="G55" i="6"/>
  <c r="J55" i="6" s="1"/>
  <c r="H55" i="8" s="1"/>
  <c r="J55" i="8" s="1"/>
  <c r="G57" i="6"/>
  <c r="J57" i="6" s="1"/>
  <c r="H57" i="8" s="1"/>
  <c r="G58" i="6"/>
  <c r="J58" i="6" s="1"/>
  <c r="H58" i="8" s="1"/>
  <c r="K56" i="8"/>
  <c r="K51" i="8"/>
  <c r="I56" i="8"/>
  <c r="F53" i="8"/>
  <c r="I51" i="8"/>
  <c r="J51" i="8" s="1"/>
  <c r="E53" i="8"/>
  <c r="F59" i="8"/>
  <c r="K59" i="8"/>
  <c r="I59" i="8"/>
  <c r="K55" i="8"/>
  <c r="I57" i="8"/>
  <c r="I54" i="8"/>
  <c r="G54" i="8"/>
  <c r="K52" i="8"/>
  <c r="F54" i="8"/>
  <c r="E54" i="8"/>
  <c r="G52" i="8"/>
  <c r="I52" i="8"/>
  <c r="F51" i="8"/>
  <c r="K53" i="8"/>
  <c r="I53" i="8"/>
  <c r="I48" i="8"/>
  <c r="K49" i="8"/>
  <c r="G48" i="8"/>
  <c r="I49" i="8"/>
  <c r="K50" i="8"/>
  <c r="G49" i="8"/>
  <c r="F49" i="8"/>
  <c r="F45" i="8"/>
  <c r="K45" i="8"/>
  <c r="I45" i="8"/>
  <c r="E45" i="8"/>
  <c r="K44" i="8"/>
  <c r="E44" i="8"/>
  <c r="I44" i="8"/>
  <c r="J44" i="8" s="1"/>
  <c r="G44" i="8"/>
  <c r="F6" i="10"/>
  <c r="A6" i="10"/>
  <c r="B6" i="10"/>
  <c r="C6" i="10"/>
  <c r="D6" i="10"/>
  <c r="A40" i="8"/>
  <c r="B40" i="8"/>
  <c r="C40" i="8"/>
  <c r="D40" i="8"/>
  <c r="G40" i="8" s="1"/>
  <c r="A41" i="8"/>
  <c r="B41" i="8"/>
  <c r="C41" i="8"/>
  <c r="D41" i="8"/>
  <c r="E41" i="8" s="1"/>
  <c r="A42" i="8"/>
  <c r="B42" i="8"/>
  <c r="C42" i="8"/>
  <c r="D42" i="8"/>
  <c r="G42" i="8" s="1"/>
  <c r="A43" i="8"/>
  <c r="B43" i="8"/>
  <c r="C43" i="8"/>
  <c r="D43" i="8"/>
  <c r="K43" i="8" s="1"/>
  <c r="H40" i="6"/>
  <c r="G14" i="5"/>
  <c r="G42" i="6" s="1"/>
  <c r="J42" i="6" s="1"/>
  <c r="H42" i="8" s="1"/>
  <c r="J62" i="8" l="1"/>
  <c r="J65" i="8"/>
  <c r="J61" i="8"/>
  <c r="J60" i="8"/>
  <c r="J58" i="8"/>
  <c r="J47" i="8"/>
  <c r="J54" i="8"/>
  <c r="J53" i="8"/>
  <c r="J59" i="8"/>
  <c r="J48" i="8"/>
  <c r="J56" i="8"/>
  <c r="J57" i="8"/>
  <c r="J49" i="8"/>
  <c r="J52" i="8"/>
  <c r="J45" i="8"/>
  <c r="E43" i="8"/>
  <c r="E42" i="8"/>
  <c r="G41" i="8"/>
  <c r="E40" i="8"/>
  <c r="I40" i="8"/>
  <c r="F40" i="8"/>
  <c r="F42" i="8"/>
  <c r="K40" i="8"/>
  <c r="G43" i="8"/>
  <c r="F43" i="8"/>
  <c r="I41" i="8"/>
  <c r="I43" i="8"/>
  <c r="K41" i="8"/>
  <c r="K42" i="8"/>
  <c r="I42" i="8"/>
  <c r="J42" i="8" s="1"/>
  <c r="F41" i="8"/>
  <c r="G41" i="6"/>
  <c r="J41" i="6" s="1"/>
  <c r="H41" i="8" s="1"/>
  <c r="G43" i="6"/>
  <c r="J43" i="6" s="1"/>
  <c r="H43" i="8" s="1"/>
  <c r="G40" i="6"/>
  <c r="A39" i="8"/>
  <c r="B39" i="8"/>
  <c r="C39" i="8"/>
  <c r="D39" i="8"/>
  <c r="K39" i="8" s="1"/>
  <c r="A36" i="8"/>
  <c r="B36" i="8"/>
  <c r="C36" i="8"/>
  <c r="D36" i="8"/>
  <c r="E36" i="8" s="1"/>
  <c r="A37" i="8"/>
  <c r="B37" i="8"/>
  <c r="C37" i="8"/>
  <c r="D37" i="8"/>
  <c r="F37" i="8" s="1"/>
  <c r="A38" i="8"/>
  <c r="B38" i="8"/>
  <c r="C38" i="8"/>
  <c r="D38" i="8"/>
  <c r="G38" i="8" s="1"/>
  <c r="A33" i="8"/>
  <c r="B33" i="8"/>
  <c r="C33" i="8"/>
  <c r="D33" i="8"/>
  <c r="E33" i="8" s="1"/>
  <c r="A34" i="8"/>
  <c r="B34" i="8"/>
  <c r="C34" i="8"/>
  <c r="D34" i="8"/>
  <c r="E34" i="8" s="1"/>
  <c r="A35" i="8"/>
  <c r="B35" i="8"/>
  <c r="C35" i="8"/>
  <c r="D35" i="8"/>
  <c r="G35" i="8" s="1"/>
  <c r="A29" i="8"/>
  <c r="B29" i="8"/>
  <c r="C29" i="8"/>
  <c r="D29" i="8"/>
  <c r="F29" i="8" s="1"/>
  <c r="A30" i="8"/>
  <c r="B30" i="8"/>
  <c r="C30" i="8"/>
  <c r="D30" i="8"/>
  <c r="F30" i="8" s="1"/>
  <c r="A31" i="8"/>
  <c r="B31" i="8"/>
  <c r="C31" i="8"/>
  <c r="D31" i="8"/>
  <c r="G31" i="8" s="1"/>
  <c r="A32" i="8"/>
  <c r="B32" i="8"/>
  <c r="C32" i="8"/>
  <c r="D32" i="8"/>
  <c r="K32" i="8" s="1"/>
  <c r="H33" i="6"/>
  <c r="G13" i="5"/>
  <c r="G35" i="6" s="1"/>
  <c r="H29" i="6"/>
  <c r="A26" i="8"/>
  <c r="B26" i="8"/>
  <c r="C26" i="8"/>
  <c r="D26" i="8"/>
  <c r="I26" i="8" s="1"/>
  <c r="A27" i="8"/>
  <c r="B27" i="8"/>
  <c r="C27" i="8"/>
  <c r="D27" i="8"/>
  <c r="G27" i="8" s="1"/>
  <c r="A28" i="8"/>
  <c r="B28" i="8"/>
  <c r="C28" i="8"/>
  <c r="D28" i="8"/>
  <c r="F28" i="8" s="1"/>
  <c r="H27" i="6"/>
  <c r="A5" i="10"/>
  <c r="B5" i="10"/>
  <c r="C5" i="10"/>
  <c r="D5" i="10"/>
  <c r="F5" i="10"/>
  <c r="A24" i="8"/>
  <c r="B24" i="8"/>
  <c r="C24" i="8"/>
  <c r="D24" i="8"/>
  <c r="E24" i="8" s="1"/>
  <c r="A25" i="8"/>
  <c r="B25" i="8"/>
  <c r="C25" i="8"/>
  <c r="D25" i="8"/>
  <c r="E25" i="8" s="1"/>
  <c r="H24" i="6"/>
  <c r="H25" i="6"/>
  <c r="F5" i="12"/>
  <c r="G12" i="5" s="1"/>
  <c r="G30" i="6" s="1"/>
  <c r="F4" i="12"/>
  <c r="G11" i="5" s="1"/>
  <c r="G26" i="6" s="1"/>
  <c r="F3" i="12"/>
  <c r="G10" i="5" s="1"/>
  <c r="G24" i="6" s="1"/>
  <c r="F2" i="12"/>
  <c r="J41" i="8" l="1"/>
  <c r="J43" i="8"/>
  <c r="J40" i="6"/>
  <c r="H40" i="8" s="1"/>
  <c r="J40" i="8" s="1"/>
  <c r="G32" i="6"/>
  <c r="J32" i="6" s="1"/>
  <c r="H32" i="8" s="1"/>
  <c r="G34" i="6"/>
  <c r="J34" i="6" s="1"/>
  <c r="H34" i="8" s="1"/>
  <c r="G33" i="6"/>
  <c r="J33" i="6" s="1"/>
  <c r="H33" i="8" s="1"/>
  <c r="G39" i="6"/>
  <c r="J39" i="6" s="1"/>
  <c r="H39" i="8" s="1"/>
  <c r="G38" i="6"/>
  <c r="J38" i="6" s="1"/>
  <c r="H38" i="8" s="1"/>
  <c r="G31" i="6"/>
  <c r="G37" i="6"/>
  <c r="J37" i="6" s="1"/>
  <c r="H37" i="8" s="1"/>
  <c r="G36" i="6"/>
  <c r="J36" i="6" s="1"/>
  <c r="H36" i="8" s="1"/>
  <c r="G28" i="6"/>
  <c r="J28" i="6" s="1"/>
  <c r="H28" i="8" s="1"/>
  <c r="G27" i="6"/>
  <c r="J27" i="6" s="1"/>
  <c r="H27" i="8" s="1"/>
  <c r="G29" i="6"/>
  <c r="G25" i="6"/>
  <c r="J25" i="6" s="1"/>
  <c r="H25" i="8" s="1"/>
  <c r="J26" i="6"/>
  <c r="H26" i="8" s="1"/>
  <c r="J26" i="8" s="1"/>
  <c r="J35" i="6"/>
  <c r="H35" i="8" s="1"/>
  <c r="E37" i="8"/>
  <c r="I39" i="8"/>
  <c r="K37" i="8"/>
  <c r="I37" i="8"/>
  <c r="G39" i="8"/>
  <c r="G37" i="8"/>
  <c r="E39" i="8"/>
  <c r="F39" i="8"/>
  <c r="F38" i="8"/>
  <c r="E38" i="8"/>
  <c r="I36" i="8"/>
  <c r="G36" i="8"/>
  <c r="F36" i="8"/>
  <c r="K36" i="8"/>
  <c r="K38" i="8"/>
  <c r="I38" i="8"/>
  <c r="F31" i="8"/>
  <c r="E29" i="8"/>
  <c r="F34" i="8"/>
  <c r="I33" i="8"/>
  <c r="G33" i="8"/>
  <c r="F33" i="8"/>
  <c r="E31" i="8"/>
  <c r="E35" i="8"/>
  <c r="I32" i="8"/>
  <c r="K30" i="8"/>
  <c r="G32" i="8"/>
  <c r="I30" i="8"/>
  <c r="F32" i="8"/>
  <c r="G30" i="8"/>
  <c r="E32" i="8"/>
  <c r="E30" i="8"/>
  <c r="F35" i="8"/>
  <c r="K33" i="8"/>
  <c r="K29" i="8"/>
  <c r="I29" i="8"/>
  <c r="K34" i="8"/>
  <c r="G29" i="8"/>
  <c r="I34" i="8"/>
  <c r="G34" i="8"/>
  <c r="K35" i="8"/>
  <c r="I35" i="8"/>
  <c r="I31" i="8"/>
  <c r="K31" i="8"/>
  <c r="F27" i="8"/>
  <c r="G26" i="8"/>
  <c r="F26" i="8"/>
  <c r="E28" i="8"/>
  <c r="E27" i="8"/>
  <c r="K28" i="8"/>
  <c r="I28" i="8"/>
  <c r="G28" i="8"/>
  <c r="E26" i="8"/>
  <c r="K27" i="8"/>
  <c r="I27" i="8"/>
  <c r="K26" i="8"/>
  <c r="K25" i="8"/>
  <c r="I24" i="8"/>
  <c r="K24" i="8"/>
  <c r="G24" i="8"/>
  <c r="I25" i="8"/>
  <c r="F24" i="8"/>
  <c r="G25" i="8"/>
  <c r="F25" i="8"/>
  <c r="J24" i="6"/>
  <c r="H24" i="8" s="1"/>
  <c r="F4" i="10"/>
  <c r="A4" i="10"/>
  <c r="B4" i="10"/>
  <c r="C4" i="10"/>
  <c r="D4" i="10"/>
  <c r="A23" i="8"/>
  <c r="B23" i="8"/>
  <c r="C23" i="8"/>
  <c r="D23" i="8"/>
  <c r="E23" i="8" s="1"/>
  <c r="H23" i="6"/>
  <c r="G9" i="5"/>
  <c r="G23" i="6" s="1"/>
  <c r="J32" i="8" l="1"/>
  <c r="J37" i="8"/>
  <c r="J38" i="8"/>
  <c r="J39" i="8"/>
  <c r="J36" i="8"/>
  <c r="J33" i="8"/>
  <c r="J34" i="8"/>
  <c r="J35" i="8"/>
  <c r="J29" i="6"/>
  <c r="H29" i="8" s="1"/>
  <c r="J29" i="8" s="1"/>
  <c r="J30" i="6"/>
  <c r="H30" i="8" s="1"/>
  <c r="J30" i="8" s="1"/>
  <c r="J31" i="6"/>
  <c r="H31" i="8" s="1"/>
  <c r="J31" i="8" s="1"/>
  <c r="J27" i="8"/>
  <c r="J28" i="8"/>
  <c r="J24" i="8"/>
  <c r="J25" i="8"/>
  <c r="J23" i="6"/>
  <c r="H23" i="8" s="1"/>
  <c r="K23" i="8"/>
  <c r="I23" i="8"/>
  <c r="F23" i="8"/>
  <c r="G23" i="8"/>
  <c r="A21" i="8"/>
  <c r="B21" i="8"/>
  <c r="C21" i="8"/>
  <c r="A22" i="8"/>
  <c r="B22" i="8"/>
  <c r="C22" i="8"/>
  <c r="D21" i="8"/>
  <c r="K21" i="8" s="1"/>
  <c r="D22" i="8"/>
  <c r="E22" i="8" s="1"/>
  <c r="B10" i="11"/>
  <c r="C10" i="11" s="1"/>
  <c r="B7" i="11"/>
  <c r="C7" i="11" s="1"/>
  <c r="B6" i="11"/>
  <c r="C6" i="11" s="1"/>
  <c r="B5" i="11"/>
  <c r="C5" i="11" s="1"/>
  <c r="B4" i="11"/>
  <c r="C4" i="11" s="1"/>
  <c r="F3" i="10"/>
  <c r="D3" i="10"/>
  <c r="C3" i="10"/>
  <c r="B3" i="10"/>
  <c r="A3" i="10"/>
  <c r="F2" i="10"/>
  <c r="E2" i="10"/>
  <c r="D2" i="10"/>
  <c r="C2" i="10"/>
  <c r="B2" i="10"/>
  <c r="A2" i="10"/>
  <c r="D20" i="8"/>
  <c r="K20" i="8" s="1"/>
  <c r="C20" i="8"/>
  <c r="B20" i="8"/>
  <c r="A20" i="8"/>
  <c r="D19" i="8"/>
  <c r="G19" i="8" s="1"/>
  <c r="C19" i="8"/>
  <c r="B19" i="8"/>
  <c r="A19" i="8"/>
  <c r="D18" i="8"/>
  <c r="E18" i="8" s="1"/>
  <c r="C18" i="8"/>
  <c r="B18" i="8"/>
  <c r="A18" i="8"/>
  <c r="D17" i="8"/>
  <c r="K17" i="8" s="1"/>
  <c r="C17" i="8"/>
  <c r="B17" i="8"/>
  <c r="A17" i="8"/>
  <c r="D16" i="8"/>
  <c r="K16" i="8" s="1"/>
  <c r="C16" i="8"/>
  <c r="B16" i="8"/>
  <c r="A16" i="8"/>
  <c r="D15" i="8"/>
  <c r="I15" i="8" s="1"/>
  <c r="C15" i="8"/>
  <c r="B15" i="8"/>
  <c r="A15" i="8"/>
  <c r="D14" i="8"/>
  <c r="I14" i="8" s="1"/>
  <c r="C14" i="8"/>
  <c r="B14" i="8"/>
  <c r="A14" i="8"/>
  <c r="D13" i="8"/>
  <c r="K13" i="8" s="1"/>
  <c r="C13" i="8"/>
  <c r="B13" i="8"/>
  <c r="A13" i="8"/>
  <c r="D12" i="8"/>
  <c r="F12" i="8" s="1"/>
  <c r="C12" i="8"/>
  <c r="B12" i="8"/>
  <c r="A12" i="8"/>
  <c r="D11" i="8"/>
  <c r="K11" i="8" s="1"/>
  <c r="C11" i="8"/>
  <c r="B11" i="8"/>
  <c r="A11" i="8"/>
  <c r="D10" i="8"/>
  <c r="I10" i="8" s="1"/>
  <c r="C10" i="8"/>
  <c r="B10" i="8"/>
  <c r="A10" i="8"/>
  <c r="D9" i="8"/>
  <c r="F9" i="8" s="1"/>
  <c r="C9" i="8"/>
  <c r="B9" i="8"/>
  <c r="A9" i="8"/>
  <c r="D8" i="8"/>
  <c r="F8" i="8" s="1"/>
  <c r="C8" i="8"/>
  <c r="B8" i="8"/>
  <c r="A8" i="8"/>
  <c r="D7" i="8"/>
  <c r="C7" i="8"/>
  <c r="B7" i="8"/>
  <c r="A7" i="8"/>
  <c r="D6" i="8"/>
  <c r="K6" i="8" s="1"/>
  <c r="C6" i="8"/>
  <c r="B6" i="8"/>
  <c r="A6" i="8"/>
  <c r="D5" i="8"/>
  <c r="G5" i="8" s="1"/>
  <c r="C5" i="8"/>
  <c r="B5" i="8"/>
  <c r="A5" i="8"/>
  <c r="D4" i="8"/>
  <c r="E4" i="8" s="1"/>
  <c r="C4" i="8"/>
  <c r="B4" i="8"/>
  <c r="A4" i="8"/>
  <c r="D3" i="8"/>
  <c r="K3" i="8" s="1"/>
  <c r="C3" i="8"/>
  <c r="B3" i="8"/>
  <c r="A3" i="8"/>
  <c r="D2" i="8"/>
  <c r="C2" i="8"/>
  <c r="B2" i="8"/>
  <c r="A2" i="8"/>
  <c r="G8" i="5"/>
  <c r="G20" i="6" s="1"/>
  <c r="J20" i="6" s="1"/>
  <c r="H20" i="8" s="1"/>
  <c r="G7" i="5"/>
  <c r="G6" i="5"/>
  <c r="G8" i="6" s="1"/>
  <c r="J8" i="6" s="1"/>
  <c r="H8" i="8" s="1"/>
  <c r="G5" i="5"/>
  <c r="G7" i="6" s="1"/>
  <c r="J7" i="6" s="1"/>
  <c r="H7" i="8" s="1"/>
  <c r="G4" i="5"/>
  <c r="G5" i="6" s="1"/>
  <c r="J5" i="6" s="1"/>
  <c r="H5" i="8" s="1"/>
  <c r="G3" i="5"/>
  <c r="G4" i="6" s="1"/>
  <c r="J4" i="6" s="1"/>
  <c r="H4" i="8" s="1"/>
  <c r="G2" i="5"/>
  <c r="G9" i="6" s="1"/>
  <c r="J9" i="6" s="1"/>
  <c r="H9" i="8" s="1"/>
  <c r="I8" i="10" l="1"/>
  <c r="H8" i="10"/>
  <c r="G8" i="10"/>
  <c r="G7" i="10"/>
  <c r="H7" i="10"/>
  <c r="I7" i="10"/>
  <c r="G6" i="10"/>
  <c r="I6" i="10"/>
  <c r="H6" i="10"/>
  <c r="G21" i="6"/>
  <c r="J21" i="6" s="1"/>
  <c r="H21" i="8" s="1"/>
  <c r="G22" i="6"/>
  <c r="J22" i="6" s="1"/>
  <c r="H22" i="8" s="1"/>
  <c r="G14" i="6"/>
  <c r="J14" i="6" s="1"/>
  <c r="H14" i="8" s="1"/>
  <c r="G5" i="10"/>
  <c r="I5" i="10"/>
  <c r="H5" i="10"/>
  <c r="J23" i="8"/>
  <c r="I4" i="10" s="1"/>
  <c r="G4" i="10"/>
  <c r="H4" i="10"/>
  <c r="F3" i="8"/>
  <c r="I3" i="8"/>
  <c r="K10" i="8"/>
  <c r="K14" i="8"/>
  <c r="I17" i="8"/>
  <c r="E21" i="8"/>
  <c r="F22" i="8"/>
  <c r="G3" i="8"/>
  <c r="F17" i="8"/>
  <c r="F21" i="8"/>
  <c r="F10" i="8"/>
  <c r="G10" i="8"/>
  <c r="G17" i="8"/>
  <c r="G21" i="8"/>
  <c r="I5" i="8"/>
  <c r="J5" i="8" s="1"/>
  <c r="E13" i="8"/>
  <c r="G15" i="8"/>
  <c r="I19" i="8"/>
  <c r="G22" i="8"/>
  <c r="K5" i="8"/>
  <c r="F13" i="8"/>
  <c r="K15" i="8"/>
  <c r="K19" i="8"/>
  <c r="G13" i="8"/>
  <c r="I13" i="8"/>
  <c r="F4" i="8"/>
  <c r="G9" i="8"/>
  <c r="E11" i="8"/>
  <c r="F18" i="8"/>
  <c r="I22" i="8"/>
  <c r="G4" i="8"/>
  <c r="I9" i="8"/>
  <c r="J9" i="8" s="1"/>
  <c r="I11" i="8"/>
  <c r="G18" i="8"/>
  <c r="I21" i="8"/>
  <c r="I4" i="8"/>
  <c r="J4" i="8" s="1"/>
  <c r="K9" i="8"/>
  <c r="I18" i="8"/>
  <c r="K22" i="8"/>
  <c r="K4" i="8"/>
  <c r="K18" i="8"/>
  <c r="E5" i="8"/>
  <c r="E19" i="8"/>
  <c r="F5" i="8"/>
  <c r="F19" i="8"/>
  <c r="E3" i="8"/>
  <c r="E17" i="8"/>
  <c r="B8" i="11"/>
  <c r="C8" i="11" s="1"/>
  <c r="G16" i="6"/>
  <c r="J16" i="6" s="1"/>
  <c r="H16" i="8" s="1"/>
  <c r="E2" i="8"/>
  <c r="F7" i="8"/>
  <c r="I8" i="8"/>
  <c r="J8" i="8" s="1"/>
  <c r="G12" i="8"/>
  <c r="E16" i="8"/>
  <c r="E7" i="8"/>
  <c r="G17" i="6"/>
  <c r="J17" i="6" s="1"/>
  <c r="H17" i="8" s="1"/>
  <c r="G2" i="8"/>
  <c r="E6" i="8"/>
  <c r="K8" i="8"/>
  <c r="F11" i="8"/>
  <c r="I12" i="8"/>
  <c r="G16" i="8"/>
  <c r="E20" i="8"/>
  <c r="F6" i="8"/>
  <c r="I7" i="8"/>
  <c r="J7" i="8" s="1"/>
  <c r="G11" i="8"/>
  <c r="E15" i="8"/>
  <c r="F20" i="8"/>
  <c r="G8" i="8"/>
  <c r="E12" i="8"/>
  <c r="G2" i="6"/>
  <c r="J2" i="6" s="1"/>
  <c r="H2" i="8" s="1"/>
  <c r="G7" i="8"/>
  <c r="G3" i="6"/>
  <c r="J3" i="6" s="1"/>
  <c r="H3" i="8" s="1"/>
  <c r="G10" i="6"/>
  <c r="J10" i="6" s="1"/>
  <c r="H10" i="8" s="1"/>
  <c r="J10" i="8" s="1"/>
  <c r="G11" i="6"/>
  <c r="J11" i="6" s="1"/>
  <c r="H11" i="8" s="1"/>
  <c r="G18" i="6"/>
  <c r="J18" i="6" s="1"/>
  <c r="H18" i="8" s="1"/>
  <c r="I2" i="8"/>
  <c r="G6" i="8"/>
  <c r="E10" i="8"/>
  <c r="K12" i="8"/>
  <c r="F15" i="8"/>
  <c r="I16" i="8"/>
  <c r="G20" i="8"/>
  <c r="G15" i="6"/>
  <c r="J15" i="6" s="1"/>
  <c r="H15" i="8" s="1"/>
  <c r="F2" i="8"/>
  <c r="F16" i="8"/>
  <c r="K7" i="8"/>
  <c r="G12" i="6"/>
  <c r="J12" i="6" s="1"/>
  <c r="H12" i="8" s="1"/>
  <c r="G19" i="6"/>
  <c r="J19" i="6" s="1"/>
  <c r="H19" i="8" s="1"/>
  <c r="K2" i="8"/>
  <c r="I6" i="8"/>
  <c r="E14" i="8"/>
  <c r="I20" i="8"/>
  <c r="J20" i="8" s="1"/>
  <c r="E9" i="8"/>
  <c r="F14" i="8"/>
  <c r="G6" i="6"/>
  <c r="J6" i="6" s="1"/>
  <c r="H6" i="8" s="1"/>
  <c r="G13" i="6"/>
  <c r="J13" i="6" s="1"/>
  <c r="H13" i="8" s="1"/>
  <c r="G14" i="8"/>
  <c r="E8" i="8"/>
  <c r="J8" i="10" l="1"/>
  <c r="J7" i="10"/>
  <c r="J6" i="10"/>
  <c r="J14" i="8"/>
  <c r="J5" i="10"/>
  <c r="J4" i="10"/>
  <c r="I3" i="10"/>
  <c r="I2" i="10"/>
  <c r="J16" i="8"/>
  <c r="J6" i="8"/>
  <c r="J21" i="8"/>
  <c r="J17" i="8"/>
  <c r="J22" i="8"/>
  <c r="J19" i="8"/>
  <c r="H2" i="10"/>
  <c r="J13" i="8"/>
  <c r="J18" i="8"/>
  <c r="J11" i="8"/>
  <c r="J12" i="8"/>
  <c r="J2" i="8"/>
  <c r="J15" i="8"/>
  <c r="J3" i="8"/>
  <c r="M2" i="10" l="1" a="1"/>
  <c r="I10" i="10"/>
  <c r="H3" i="10"/>
  <c r="H10" i="10" s="1"/>
  <c r="G3" i="10"/>
  <c r="G2" i="10"/>
  <c r="M2" i="10" l="1"/>
  <c r="M10" i="10" s="1"/>
  <c r="L2" i="10" a="1"/>
  <c r="G10" i="10"/>
  <c r="K2" i="10" a="1"/>
  <c r="J2" i="10"/>
  <c r="J3" i="10"/>
  <c r="N8" i="10" l="1"/>
  <c r="N7" i="10"/>
  <c r="L2" i="10"/>
  <c r="L10" i="10" s="1"/>
  <c r="J10" i="10"/>
  <c r="K2" i="10"/>
  <c r="K10" i="10" s="1"/>
  <c r="N3" i="10"/>
  <c r="N4" i="10"/>
  <c r="N5" i="10"/>
  <c r="N6" i="10"/>
  <c r="N9" i="10"/>
  <c r="B9" i="11"/>
  <c r="C9" i="11" s="1"/>
  <c r="N2" i="10" l="1"/>
  <c r="N1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Columna editable: aquí cambian los inputs del modelo.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Columna editable: actualiza precios unitarios.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<sst xmlns="http://schemas.openxmlformats.org/spreadsheetml/2006/main" count="1221" uniqueCount="494">
  <si>
    <t>Objetivo</t>
  </si>
  <si>
    <t>Ordenar el motor en un flujo más claro: INPUTS → PAQUETE → MAPEO → APU → LISTA DE RECURSOS → RESUMEN.</t>
  </si>
  <si>
    <t>Mejoras implementadas</t>
  </si>
  <si>
    <t>1) Fórmulas sin referencias duras a celdas específicas. 2) Separación entre mapeo base y APU. 3) Consolidado de recursos. 4) Resumen por EDT. 5) Hoja de control para revisión.</t>
  </si>
  <si>
    <t>Hojas editables</t>
  </si>
  <si>
    <t>Editar solo PARAMETROS (columna VALOR_PARAMETRO) y RECURSOS_PRECIOS (PRECIO_UNITARIO / FECHA / FUENTE).</t>
  </si>
  <si>
    <t>Hojas de lógica</t>
  </si>
  <si>
    <t>FORMULAS documenta reglas; PAQUETE_PK calcula cantidades; MAPEO_BASE explota cantidades a recursos; APU_DETALLE costea; LISTA_RECURSOS consolida.</t>
  </si>
  <si>
    <t>Criterio MVP</t>
  </si>
  <si>
    <t>El archivo queda listo para seguir creciendo por nuevas actividades, nuevas reglas y nuevos recursos, manteniendo trazabilidad.</t>
  </si>
  <si>
    <t>Convención de color</t>
  </si>
  <si>
    <t>Azul = inputs editables | Negro = fórmulas | Gris = catálogos / estructura | Verde = datos vinculados | Naranja = revisar.</t>
  </si>
  <si>
    <t>ID_EDT</t>
  </si>
  <si>
    <t>FASE</t>
  </si>
  <si>
    <t>ETAPA</t>
  </si>
  <si>
    <t>TIPOLOGIA</t>
  </si>
  <si>
    <t>ACTIVIDAD</t>
  </si>
  <si>
    <t>UNIDAD_BASE</t>
  </si>
  <si>
    <t>BOQ</t>
  </si>
  <si>
    <t>USA_PK</t>
  </si>
  <si>
    <t>USA_APU</t>
  </si>
  <si>
    <t>CODIGO_PK</t>
  </si>
  <si>
    <t>EDT-PRE-001</t>
  </si>
  <si>
    <t>PRELIMINARES</t>
  </si>
  <si>
    <t>SERVICIOS TEMPORALES</t>
  </si>
  <si>
    <t>AGUA PROVISIONAL</t>
  </si>
  <si>
    <t>un</t>
  </si>
  <si>
    <t>Si</t>
  </si>
  <si>
    <t>PK-AGUA-001</t>
  </si>
  <si>
    <t>EDT-PRE-002</t>
  </si>
  <si>
    <t>ENERGIA PROVISIONAL</t>
  </si>
  <si>
    <t>TIPO_PARAMETRO</t>
  </si>
  <si>
    <t>NOMBRE_PARAMETRO</t>
  </si>
  <si>
    <t>SIMBOLO_PARAMETRO</t>
  </si>
  <si>
    <t>VALOR_PARAMETRO</t>
  </si>
  <si>
    <t>UNIDAD_PARAMETRO</t>
  </si>
  <si>
    <t>OBSERVACIONES</t>
  </si>
  <si>
    <t>Cálculo</t>
  </si>
  <si>
    <t>Cantidad de Sistemas</t>
  </si>
  <si>
    <t>C_agua</t>
  </si>
  <si>
    <t>Número de sistemas o frentes de instalación</t>
  </si>
  <si>
    <t>Longitud</t>
  </si>
  <si>
    <t>L_agua</t>
  </si>
  <si>
    <t>m</t>
  </si>
  <si>
    <t>Longitud de tubería temporal desde el punto de abastecimiento hasta el punto de uso.</t>
  </si>
  <si>
    <t>Numero_Puntos</t>
  </si>
  <si>
    <t>P_agua</t>
  </si>
  <si>
    <t>Número de puntos de consumo de agua en la obra</t>
  </si>
  <si>
    <t>Configuración</t>
  </si>
  <si>
    <t>Factor Accesorios Lineales</t>
  </si>
  <si>
    <t>f_lineal_agua</t>
  </si>
  <si>
    <t>un/ml</t>
  </si>
  <si>
    <t>Factor para cálculo de figuras PVC en relación a ml de tubería</t>
  </si>
  <si>
    <t>Factor Accesorios Puntos</t>
  </si>
  <si>
    <t>f_puntos_agua</t>
  </si>
  <si>
    <t>un/punto</t>
  </si>
  <si>
    <t>Factor para cálculo de figuras PVC en relación con puntos de consumo</t>
  </si>
  <si>
    <t>Válvulas por Punto</t>
  </si>
  <si>
    <t>Val_punto</t>
  </si>
  <si>
    <t>Válvula de paso por punto de consumo</t>
  </si>
  <si>
    <t>Cantidad de Acometidas</t>
  </si>
  <si>
    <t>C_elec</t>
  </si>
  <si>
    <t>Número de Acometidas Eléctricas (base 1)</t>
  </si>
  <si>
    <t>Longitud de acometida</t>
  </si>
  <si>
    <t>L_elec</t>
  </si>
  <si>
    <t>Longitud de Acometida eléctrica</t>
  </si>
  <si>
    <t>DESCRIPCION</t>
  </si>
  <si>
    <t>FORMULA_LOGICA</t>
  </si>
  <si>
    <t>PK-AGUA-001-001</t>
  </si>
  <si>
    <t>Acometida provisional de agua</t>
  </si>
  <si>
    <t>PK-AGUA-001-002</t>
  </si>
  <si>
    <t>Red temporal de agua</t>
  </si>
  <si>
    <t>PK-AGUA-001-003</t>
  </si>
  <si>
    <t>Puntos terminales de agua</t>
  </si>
  <si>
    <t>PK-AGUA-001-004</t>
  </si>
  <si>
    <t>Accesorios de red</t>
  </si>
  <si>
    <t>(L_agua*f_lineal_agua)+(P_agua*f_puntos_agua)</t>
  </si>
  <si>
    <t>PK-AGUA-001-005</t>
  </si>
  <si>
    <t>Válvulas de control</t>
  </si>
  <si>
    <t>C_agua + (P_agua*Val_punto)</t>
  </si>
  <si>
    <t>PK-ACOELE-001-001</t>
  </si>
  <si>
    <t>Acometida eléctrica</t>
  </si>
  <si>
    <t>PK-ACOELE-001-002</t>
  </si>
  <si>
    <t>Cableado de acometida</t>
  </si>
  <si>
    <t>Dos líneas fase</t>
  </si>
  <si>
    <t>Una línea neutro</t>
  </si>
  <si>
    <t>UNIDAD</t>
  </si>
  <si>
    <t>CANTIDAD_CALCULADA</t>
  </si>
  <si>
    <t>UNIDAD_PK</t>
  </si>
  <si>
    <t>Una por sistema</t>
  </si>
  <si>
    <t>Longitud total ingresada</t>
  </si>
  <si>
    <t>Puntos editables</t>
  </si>
  <si>
    <t>Lineales + por punto</t>
  </si>
  <si>
    <t>Una por sistema + adicional por puntos</t>
  </si>
  <si>
    <t>PK-ACOELE-001</t>
  </si>
  <si>
    <t>Una por acometida</t>
  </si>
  <si>
    <t>Longitud total de cableado</t>
  </si>
  <si>
    <t>CODIGO_APU</t>
  </si>
  <si>
    <t>CODIGO_RECURSO</t>
  </si>
  <si>
    <t>DESCRIPCION_REGLA</t>
  </si>
  <si>
    <t>FACTOR_RECURSO</t>
  </si>
  <si>
    <t>UNIDAD_FACTOR</t>
  </si>
  <si>
    <t>QYT_APU</t>
  </si>
  <si>
    <t>APU-AGUA-001</t>
  </si>
  <si>
    <t>Acometida agua x 1 unión tope</t>
  </si>
  <si>
    <t>un/un</t>
  </si>
  <si>
    <t>Uno por sistema</t>
  </si>
  <si>
    <t>Acometida agua x 1 válvula bola</t>
  </si>
  <si>
    <t>Red agua / 6 m por tubo</t>
  </si>
  <si>
    <t>un/m</t>
  </si>
  <si>
    <t>Tubo comercial de 6m</t>
  </si>
  <si>
    <t>Punto terminal x 1 llave</t>
  </si>
  <si>
    <t>Uno por punto</t>
  </si>
  <si>
    <t>Accesorios x 70% codos</t>
  </si>
  <si>
    <t>Distribución estimada</t>
  </si>
  <si>
    <t>Accesorios x 30% tees</t>
  </si>
  <si>
    <t>Válvulas control x 1</t>
  </si>
  <si>
    <t>Una por sistema o punto</t>
  </si>
  <si>
    <t>Operario HH por acometida</t>
  </si>
  <si>
    <t>hr/un</t>
  </si>
  <si>
    <t>Rendimiento preliminar</t>
  </si>
  <si>
    <t>Peón HH por acometida</t>
  </si>
  <si>
    <t>APU-ACOELE-001</t>
  </si>
  <si>
    <t>Acometida eléctrica x 1 conduleta</t>
  </si>
  <si>
    <t>Uno por acometida</t>
  </si>
  <si>
    <t>Acometida eléctrica x 1 tubo HG</t>
  </si>
  <si>
    <t>Acometida eléctrica x 1 base medidor</t>
  </si>
  <si>
    <t>Acometida eléctrica x 1 tablero</t>
  </si>
  <si>
    <t>Acometida eléctrica x 1 breaker</t>
  </si>
  <si>
    <t>Acometida eléctrica x 1 barra tierra</t>
  </si>
  <si>
    <t>Acometida eléctrica x 1 conector cobre</t>
  </si>
  <si>
    <t>APU-ACOELE-002</t>
  </si>
  <si>
    <t>Cableado x 2 líneas rojas</t>
  </si>
  <si>
    <t>m/m</t>
  </si>
  <si>
    <t>Cableado x 1 línea negra</t>
  </si>
  <si>
    <t>Cableado x 1 línea tierra</t>
  </si>
  <si>
    <t>Una línea tierra</t>
  </si>
  <si>
    <t>NOMBRE_RECURSO</t>
  </si>
  <si>
    <t>TIPO_RECURSO</t>
  </si>
  <si>
    <t>UNIDAD_RECURSO</t>
  </si>
  <si>
    <t>PRECIO_UNITARIO</t>
  </si>
  <si>
    <t>FUENTE</t>
  </si>
  <si>
    <t>FECHA</t>
  </si>
  <si>
    <t>Unión de Tope 1/2" PVC</t>
  </si>
  <si>
    <t>Material</t>
  </si>
  <si>
    <t>mercado</t>
  </si>
  <si>
    <t>Valvula Bola PVC 1/2"</t>
  </si>
  <si>
    <t>Tubo PVC 1/2"</t>
  </si>
  <si>
    <t>Llave de Chorro</t>
  </si>
  <si>
    <t>Codo 90° 1/2" PVC</t>
  </si>
  <si>
    <t>Tee 1/2" PVC</t>
  </si>
  <si>
    <t>Valvula de Control</t>
  </si>
  <si>
    <t>Operario</t>
  </si>
  <si>
    <t>Mano Obra</t>
  </si>
  <si>
    <t>hr</t>
  </si>
  <si>
    <t>Ayudante</t>
  </si>
  <si>
    <t>Peon</t>
  </si>
  <si>
    <t>Conduleta Botagua 1 1/2"</t>
  </si>
  <si>
    <t>Tubo HG 1 1/2"</t>
  </si>
  <si>
    <t>Base de Medidor</t>
  </si>
  <si>
    <t xml:space="preserve">Tablero Principal 1 Espacio </t>
  </si>
  <si>
    <t>Breaker Principal 2X100</t>
  </si>
  <si>
    <t>Barra de Tierra Cobre</t>
  </si>
  <si>
    <t>Conector Cobre</t>
  </si>
  <si>
    <t>Cable THHN #2 Rojo</t>
  </si>
  <si>
    <t>Cable THHN #2 Negro</t>
  </si>
  <si>
    <t>Cable Desnudo #4</t>
  </si>
  <si>
    <t>RECURSO</t>
  </si>
  <si>
    <t>COSTO_APU</t>
  </si>
  <si>
    <t>TOTAL</t>
  </si>
  <si>
    <t>Hoja de control / revisión del MVP</t>
  </si>
  <si>
    <t>Indicador</t>
  </si>
  <si>
    <t>Valor</t>
  </si>
  <si>
    <t>Estado</t>
  </si>
  <si>
    <t>Nota</t>
  </si>
  <si>
    <t>Actividades EDT</t>
  </si>
  <si>
    <t>Debe existir catálogo base</t>
  </si>
  <si>
    <t>Parámetros cargados</t>
  </si>
  <si>
    <t>Inputs base del motor</t>
  </si>
  <si>
    <t>Subactividades PK</t>
  </si>
  <si>
    <t>Debe coincidir con el paquete diseñado</t>
  </si>
  <si>
    <t>Líneas de mapeo</t>
  </si>
  <si>
    <t>Explosión de recursos</t>
  </si>
  <si>
    <t>Filas de APU</t>
  </si>
  <si>
    <t>Detalle costeado</t>
  </si>
  <si>
    <t>Costo total modelo</t>
  </si>
  <si>
    <t>Total consolidado</t>
  </si>
  <si>
    <t>Precios unitarios en cero</t>
  </si>
  <si>
    <t>Si hay cero, revisar base de precios</t>
  </si>
  <si>
    <t>EDT-PRE-003</t>
  </si>
  <si>
    <t>LIMPIEZA &amp; NIVELACION DEL TERRENO</t>
  </si>
  <si>
    <t>m2</t>
  </si>
  <si>
    <t>PK-LN-001</t>
  </si>
  <si>
    <t>Area de Obra</t>
  </si>
  <si>
    <t>Factor de incremento de area</t>
  </si>
  <si>
    <t>A_obra</t>
  </si>
  <si>
    <t>f_area_ln</t>
  </si>
  <si>
    <t>un/m2</t>
  </si>
  <si>
    <t>Area constructiva de la obra</t>
  </si>
  <si>
    <t xml:space="preserve">Factor de incremento del area para limpieza y nivelación </t>
  </si>
  <si>
    <t>Movimiento de Tierras</t>
  </si>
  <si>
    <t>A_obra * f_area_ln</t>
  </si>
  <si>
    <t xml:space="preserve">Area Unitaria </t>
  </si>
  <si>
    <t>PK-LN-001-001</t>
  </si>
  <si>
    <t>APU-LN-001</t>
  </si>
  <si>
    <t>Rendimiento unitario de back hoe m2</t>
  </si>
  <si>
    <t>Subcontrato</t>
  </si>
  <si>
    <t>Back Hoe</t>
  </si>
  <si>
    <t>hr/m2</t>
  </si>
  <si>
    <t>Se calcula con base en 8 horas para casa de 200m2</t>
  </si>
  <si>
    <t>APU_MATERIAL</t>
  </si>
  <si>
    <t>APU_MO</t>
  </si>
  <si>
    <t>APU_SUBCONTRATO</t>
  </si>
  <si>
    <t>APU_TOTAL</t>
  </si>
  <si>
    <t>SUBTOTAL_MATERIALES</t>
  </si>
  <si>
    <t>SUBTOTAL_MO</t>
  </si>
  <si>
    <t>SUBTOTAL_SUBCONTRATO</t>
  </si>
  <si>
    <t>SUBTOTAL</t>
  </si>
  <si>
    <t>EDT-PRE-004</t>
  </si>
  <si>
    <t>BODEGA DE OBRA</t>
  </si>
  <si>
    <t>PK-BO-001</t>
  </si>
  <si>
    <t>Largo de Bodega</t>
  </si>
  <si>
    <t>Ancho de Bodega</t>
  </si>
  <si>
    <t>Alto de Bodega</t>
  </si>
  <si>
    <t>Factor de Sobretecho bodega</t>
  </si>
  <si>
    <t>L_bodega</t>
  </si>
  <si>
    <t>A_bodega</t>
  </si>
  <si>
    <t>H_bodega</t>
  </si>
  <si>
    <t>f_techo_bodega</t>
  </si>
  <si>
    <t>m2/m2</t>
  </si>
  <si>
    <t>Largo de la bodega</t>
  </si>
  <si>
    <t>Ancho de la bodega</t>
  </si>
  <si>
    <t>Altura de Bodega</t>
  </si>
  <si>
    <t>Factor de sobretecho para area techada sin pared</t>
  </si>
  <si>
    <t>ID_VAR_CALCULADA</t>
  </si>
  <si>
    <t>VAR-CAL-001</t>
  </si>
  <si>
    <t>VAR_CALCULADA</t>
  </si>
  <si>
    <t>L_bodega * A_bodega</t>
  </si>
  <si>
    <t>FORMULA_VAR_CAL</t>
  </si>
  <si>
    <t>Area de la Bodega</t>
  </si>
  <si>
    <t>CALCULO_VAR_CAL</t>
  </si>
  <si>
    <t>UNIDAD_VAR_CAL</t>
  </si>
  <si>
    <t>Area_bodega</t>
  </si>
  <si>
    <t>Perimetro_bodega</t>
  </si>
  <si>
    <t>Perimetro de la Bodega</t>
  </si>
  <si>
    <t>VAR-CAL-002</t>
  </si>
  <si>
    <t>2*(L_bodega + A_bodega)</t>
  </si>
  <si>
    <t>Area_pared_bodega</t>
  </si>
  <si>
    <t>VAR-CAL-003</t>
  </si>
  <si>
    <t>Area de Cerramiento Bodega</t>
  </si>
  <si>
    <t>(2*(L_bodega + A_bodega)) *  H_bodega</t>
  </si>
  <si>
    <t>Area_cubierta_techo</t>
  </si>
  <si>
    <t>VAR-CAL-004</t>
  </si>
  <si>
    <t>Area Cubierta Techo Bodega</t>
  </si>
  <si>
    <t>(L_bodega * A_bodega) * f_techo_bodega</t>
  </si>
  <si>
    <t>PK-BO-001-001</t>
  </si>
  <si>
    <t>Estructura Soporte Bodega</t>
  </si>
  <si>
    <t>Cerramiento Lateral Bodega</t>
  </si>
  <si>
    <t>Cubierta Techo Bodega</t>
  </si>
  <si>
    <t>Puerta Acceso Bodega</t>
  </si>
  <si>
    <t>PK-BO-001-002</t>
  </si>
  <si>
    <t>PK-BO-001-003</t>
  </si>
  <si>
    <t>PK-BO-001-004</t>
  </si>
  <si>
    <t>APU-BO-001-001</t>
  </si>
  <si>
    <t>Poste 3x3 en 4 varas</t>
  </si>
  <si>
    <t>postes/m</t>
  </si>
  <si>
    <t>Viga Madera inferior y superior</t>
  </si>
  <si>
    <t>Estimación inicial</t>
  </si>
  <si>
    <t>Estimación postes @1,2cm</t>
  </si>
  <si>
    <t>Postes por m de perimetro de bodega @1,2m</t>
  </si>
  <si>
    <t>Area de cerramiento en lamina de zinc</t>
  </si>
  <si>
    <t>APU-BO-001-002</t>
  </si>
  <si>
    <t>Lamina de Zinc Ondulado Cal 28 2,44</t>
  </si>
  <si>
    <t>Clavos de Techo HG</t>
  </si>
  <si>
    <t>Regla 1x4 en 4 varas</t>
  </si>
  <si>
    <t>Regla Refuerzo Lateral</t>
  </si>
  <si>
    <t>Lamina por m2</t>
  </si>
  <si>
    <t>lam/m2</t>
  </si>
  <si>
    <t>APU-BO-001-003</t>
  </si>
  <si>
    <t>Clavadores @80cm</t>
  </si>
  <si>
    <t>Area cubierta</t>
  </si>
  <si>
    <t>Puerta Bodega</t>
  </si>
  <si>
    <t>Puerta_bodega</t>
  </si>
  <si>
    <t>1 si lleva puerta, 0 si no lleva puerta</t>
  </si>
  <si>
    <t>Puerta de acceso a bodega</t>
  </si>
  <si>
    <t>APU-BO-001-004</t>
  </si>
  <si>
    <t>Bisagra 3x3</t>
  </si>
  <si>
    <t>Candado</t>
  </si>
  <si>
    <t>Cadena</t>
  </si>
  <si>
    <t>Puerta del tamaño completo de lamina</t>
  </si>
  <si>
    <t>Marco Madera solo Vertical</t>
  </si>
  <si>
    <t>un par por puerta</t>
  </si>
  <si>
    <t>uno por puerta</t>
  </si>
  <si>
    <t>1 m por puerta</t>
  </si>
  <si>
    <t>lam/un</t>
  </si>
  <si>
    <t>m/un</t>
  </si>
  <si>
    <t>EDT-PRE-005</t>
  </si>
  <si>
    <t>TRAZADO</t>
  </si>
  <si>
    <t>ejes</t>
  </si>
  <si>
    <t>PK-TR-001</t>
  </si>
  <si>
    <t>Operario HH Bodega</t>
  </si>
  <si>
    <t>Ayudante HH Bodega</t>
  </si>
  <si>
    <t>Peón HH por bodega</t>
  </si>
  <si>
    <t>Niveletas por eje</t>
  </si>
  <si>
    <t>Numero de Niveletas por eje de la obra</t>
  </si>
  <si>
    <t>Elaboracion e Instalación de niveleta</t>
  </si>
  <si>
    <t>Num_niveleta</t>
  </si>
  <si>
    <t>PK-TR-001-001</t>
  </si>
  <si>
    <t>APU-TR-001-001</t>
  </si>
  <si>
    <t>se pasa de ml por eje a unidad por eje</t>
  </si>
  <si>
    <t>un/eje</t>
  </si>
  <si>
    <t>Operario HH</t>
  </si>
  <si>
    <t>Peon HH</t>
  </si>
  <si>
    <t>Ayudante HH</t>
  </si>
  <si>
    <t>hr/eje</t>
  </si>
  <si>
    <t>LIMPIEZA &amp; NIVELACION</t>
  </si>
  <si>
    <t>KÖRA Motor v1 (MVP)</t>
  </si>
  <si>
    <t>USA_VAR_CAL</t>
  </si>
  <si>
    <t>No</t>
  </si>
  <si>
    <t>Perimetro de Bodega previsto</t>
  </si>
  <si>
    <t>FUNDACIONES</t>
  </si>
  <si>
    <t>CIMENTACION</t>
  </si>
  <si>
    <t>PLACA CORRIDA</t>
  </si>
  <si>
    <t>CODIGO_ACTIVIDAD</t>
  </si>
  <si>
    <t>ml</t>
  </si>
  <si>
    <t>PK-PC-001</t>
  </si>
  <si>
    <t>EDT-FUN-001</t>
  </si>
  <si>
    <t>Profundidad de desplamnte</t>
  </si>
  <si>
    <t>Prof_cimentación</t>
  </si>
  <si>
    <t>Nivel de desplante de fundación</t>
  </si>
  <si>
    <t>Ancho de Fundación</t>
  </si>
  <si>
    <t>B_cimentación</t>
  </si>
  <si>
    <t>Ancho de placa de cimentación en m</t>
  </si>
  <si>
    <t>Peralte de Fundación</t>
  </si>
  <si>
    <t>H_cimentación</t>
  </si>
  <si>
    <t>Peralte de Placa de Cimentación en m</t>
  </si>
  <si>
    <t>Ancho sobreexcavación</t>
  </si>
  <si>
    <t>Sobrexc_cimiento</t>
  </si>
  <si>
    <t>Sobre ancho de excavación de la placa</t>
  </si>
  <si>
    <t>VAR-CAL-005</t>
  </si>
  <si>
    <t>PK-PC-001-0001</t>
  </si>
  <si>
    <t>PK-PC-001-0002</t>
  </si>
  <si>
    <t>Excavación Cimiento</t>
  </si>
  <si>
    <t>Sello de Concreto</t>
  </si>
  <si>
    <t>PK-PC-001-0003</t>
  </si>
  <si>
    <t>Armadura de Placa Corrida</t>
  </si>
  <si>
    <t>PK-PC-001-0004</t>
  </si>
  <si>
    <t>Concreto Estructural 210kg/cm2</t>
  </si>
  <si>
    <t>m3</t>
  </si>
  <si>
    <t>Area_excav</t>
  </si>
  <si>
    <t>Area Sección de Excavación</t>
  </si>
  <si>
    <t>E_sello</t>
  </si>
  <si>
    <t>Espesor de concreto de sello de fundación</t>
  </si>
  <si>
    <t>(B_cimentación + Sobrexc_cimiento) * (Prof_cimentación +E_sello )</t>
  </si>
  <si>
    <t>Area_excav * 1</t>
  </si>
  <si>
    <t>Area_sello</t>
  </si>
  <si>
    <t>Area Sección de Concreto Sello</t>
  </si>
  <si>
    <t>E_sello *  (B_cimentación + Sobrexc_cimiento)</t>
  </si>
  <si>
    <t>Factor Desperdicio Concreto</t>
  </si>
  <si>
    <t>f_desp_concreto</t>
  </si>
  <si>
    <t>m3/m3</t>
  </si>
  <si>
    <t>Factor desperdicio de concreto</t>
  </si>
  <si>
    <t>Area_sello * 1 * (1+f_desp_concreto)</t>
  </si>
  <si>
    <t>Q_var_long</t>
  </si>
  <si>
    <t>Numero de Varillas Longitudinales</t>
  </si>
  <si>
    <t>Cantidad de varilla longitudinal (numero)</t>
  </si>
  <si>
    <t xml:space="preserve">Separación de gancho </t>
  </si>
  <si>
    <t>S_ganchos</t>
  </si>
  <si>
    <t>Separación (m) de los ganchos de armadura en cimientación</t>
  </si>
  <si>
    <t>Recubrimiento mínimo de armadura</t>
  </si>
  <si>
    <t>Recubrimiento mínimos de armadura</t>
  </si>
  <si>
    <t>E_recubrimiento</t>
  </si>
  <si>
    <t>(1*Q_var_long) + (1/S_ganchos) * (B_cimentación + H_cimentación- 4* E_recubrimiento)</t>
  </si>
  <si>
    <t>m3 de concreto de sello</t>
  </si>
  <si>
    <t>ml de varilla #3 por ml de placa</t>
  </si>
  <si>
    <t>Area_placa</t>
  </si>
  <si>
    <t>Area Sección de placa</t>
  </si>
  <si>
    <t>(B_cimentación * H_cimentación)</t>
  </si>
  <si>
    <t>Area_placa * 1 * (1+f_desp_concreto)</t>
  </si>
  <si>
    <t>m3 de concreto por ml de placa</t>
  </si>
  <si>
    <t>APU-PC-001-0001</t>
  </si>
  <si>
    <t>Excavación con back hoe balde de 40cm</t>
  </si>
  <si>
    <t>hr/m3</t>
  </si>
  <si>
    <t>Q_ACTIVIDAD</t>
  </si>
  <si>
    <t>VAR-CAL-006</t>
  </si>
  <si>
    <t>VAR-CAL-007</t>
  </si>
  <si>
    <t>m3 de excavación por m de PC</t>
  </si>
  <si>
    <t>APU-PC-001-0002</t>
  </si>
  <si>
    <t>Arena</t>
  </si>
  <si>
    <t>Piedra</t>
  </si>
  <si>
    <t>Cemento</t>
  </si>
  <si>
    <t>saco</t>
  </si>
  <si>
    <t>sacos/m3</t>
  </si>
  <si>
    <t>Arena por m3 de concreto 105 kg/cm2</t>
  </si>
  <si>
    <t>Piedra por m3 de concreto 105 kg/cm2</t>
  </si>
  <si>
    <t>Sacos Cemento por m3 de concreto 105 kg/cm2</t>
  </si>
  <si>
    <t>Operario HH Concreto Sello</t>
  </si>
  <si>
    <t>Ayudante HH Concreto Sello</t>
  </si>
  <si>
    <t>Peón HH por Concreto Sello</t>
  </si>
  <si>
    <t>Fuente Pag 8 Presupuesto CUNA</t>
  </si>
  <si>
    <t>HH/m3</t>
  </si>
  <si>
    <t>APU-PC-001-0003</t>
  </si>
  <si>
    <t>Varilla Corrugada N°3</t>
  </si>
  <si>
    <t>Alambre Negro</t>
  </si>
  <si>
    <t>kg</t>
  </si>
  <si>
    <t>Varilla 3 Según CSCR Cap 17</t>
  </si>
  <si>
    <t>un /ml</t>
  </si>
  <si>
    <t>kg/m</t>
  </si>
  <si>
    <t>Operario Armadura Cimentación</t>
  </si>
  <si>
    <t>Peon Armadura Cimentación</t>
  </si>
  <si>
    <t>HH/ml</t>
  </si>
  <si>
    <t>APU-PC-001-0004</t>
  </si>
  <si>
    <t>Espesor Concreto de Sello</t>
  </si>
  <si>
    <t>Arena por m3 de concreto 210 kg/cm2</t>
  </si>
  <si>
    <t>Piedra por m3 de concreto 210 kg/cm2</t>
  </si>
  <si>
    <t>Sacos Cemento por m3 de concreto 210 kg/cm2</t>
  </si>
  <si>
    <t>Operario HH Concreto Estructural</t>
  </si>
  <si>
    <t>Ayudante HH Concreto Estructural</t>
  </si>
  <si>
    <t>Peón HH por Concreto Estructural</t>
  </si>
  <si>
    <t>SOBRECIMIENTO</t>
  </si>
  <si>
    <t>PK-PC-002</t>
  </si>
  <si>
    <t>EDT-FUN-002</t>
  </si>
  <si>
    <t>Ancho de Bloque Sobrecimiento</t>
  </si>
  <si>
    <t>Ancho de Bloque de Concreto</t>
  </si>
  <si>
    <t>Hiladas_bloques_Sobrecimiento</t>
  </si>
  <si>
    <t>H_bloques</t>
  </si>
  <si>
    <t>hiladas</t>
  </si>
  <si>
    <t>Hiladas de bloques en sobrecimiento</t>
  </si>
  <si>
    <t>Separación de refuerzo vertical sobrecimiento</t>
  </si>
  <si>
    <t>Separación_Acero_Sobrecimiento_Vertical</t>
  </si>
  <si>
    <t>Separación_Acero_Sobrecimiento_Horizontal</t>
  </si>
  <si>
    <t>S_acero_sobrecimiento_hor</t>
  </si>
  <si>
    <t>S_acero_sobrecimiento_ver</t>
  </si>
  <si>
    <t>Separación de refuerzo horizontal sobrecimiento</t>
  </si>
  <si>
    <t>PK-PC-002-0001</t>
  </si>
  <si>
    <t>Area Bloques Sobrecimiento</t>
  </si>
  <si>
    <t>H_bloques * (0,4 *0,2) * 2,5</t>
  </si>
  <si>
    <t>Acero Refuerzo</t>
  </si>
  <si>
    <t>Concreto Relleno</t>
  </si>
  <si>
    <t>PK-PC-002-0002</t>
  </si>
  <si>
    <t>PK-PC-002-0003</t>
  </si>
  <si>
    <t>(1 / S_acero_sobrecimiento_ver) * (H_bloques * 0,2 + 0,4) + (H_bloques * 0,2)/S_acero_hor * 1</t>
  </si>
  <si>
    <t>(A_bloque * 0,2 * 0,85 * 5) * (H_bloques*0,2)*1,15</t>
  </si>
  <si>
    <t>m2 de pared de bloques sobrecimientos</t>
  </si>
  <si>
    <t>A_bloque</t>
  </si>
  <si>
    <t>ml de varilla #3 por ml de sobrecimiento</t>
  </si>
  <si>
    <t>m3 de concreto de relleno asuminedo toda celda rellena</t>
  </si>
  <si>
    <t>APU-PC-002-0001</t>
  </si>
  <si>
    <t>Bloque 12x20x40</t>
  </si>
  <si>
    <t>Bloques por m2 de pared</t>
  </si>
  <si>
    <t>Mortero Pega Bloque</t>
  </si>
  <si>
    <t>Mortero de pega bloques</t>
  </si>
  <si>
    <t>HH/m2</t>
  </si>
  <si>
    <t>APU-PC-002-0002</t>
  </si>
  <si>
    <t>Varilla Horizontal - Vertical Sobrecimiento</t>
  </si>
  <si>
    <t>Alambre negro para amarre</t>
  </si>
  <si>
    <t>Fuente Pag 9 Presupuesto CUNA</t>
  </si>
  <si>
    <t>Cantidad por m2</t>
  </si>
  <si>
    <t>Alambre de amarre</t>
  </si>
  <si>
    <t>Estimado por R Mata</t>
  </si>
  <si>
    <t>HH/m</t>
  </si>
  <si>
    <t>APU-PC-002-0003</t>
  </si>
  <si>
    <t>Peón</t>
  </si>
  <si>
    <t>EDT-EST-001</t>
  </si>
  <si>
    <t>PAREDES</t>
  </si>
  <si>
    <t>ESTRUCTURA</t>
  </si>
  <si>
    <t>MAMPOSTERIA</t>
  </si>
  <si>
    <t>PK-PA-001</t>
  </si>
  <si>
    <t>Ancho Bloque Pared</t>
  </si>
  <si>
    <t>A_bloque_pared</t>
  </si>
  <si>
    <t>Ancho del Bloque de Concreto (12 o 15 cm)</t>
  </si>
  <si>
    <t>Desperdicio de Bloque</t>
  </si>
  <si>
    <t>Desp_bloque</t>
  </si>
  <si>
    <t>porcentaje</t>
  </si>
  <si>
    <t>Desperdicio de bloques concreto</t>
  </si>
  <si>
    <t>Separación de acero vertical</t>
  </si>
  <si>
    <t>Separación de acero Horizontal</t>
  </si>
  <si>
    <t>S_acero_pared_vert</t>
  </si>
  <si>
    <t>S_acero_pared_hor</t>
  </si>
  <si>
    <t>Separación de refuerzo vertical pared</t>
  </si>
  <si>
    <t>Separación de refuerzo horizontal pared</t>
  </si>
  <si>
    <t>PK-PA-001-0001</t>
  </si>
  <si>
    <t>Bloques de Mamposteria</t>
  </si>
  <si>
    <t>12,5 * (1+Desp_bloque)</t>
  </si>
  <si>
    <t>unidades</t>
  </si>
  <si>
    <t>bloques por m2 de pared contemplando desperdicio</t>
  </si>
  <si>
    <t>Acero de Refuerzo Vertical - Horizontal</t>
  </si>
  <si>
    <t>PK-PA-001-0002</t>
  </si>
  <si>
    <t>1/S_acero_pared_vert + 1/S_acero_pared_hor</t>
  </si>
  <si>
    <t>ml de varilla N3 por m2 de pared de bloques</t>
  </si>
  <si>
    <t>PK-PA-001-0003</t>
  </si>
  <si>
    <t>Concreto de Relleno Celdas Pared</t>
  </si>
  <si>
    <t>A_bloque_pared * 0,2 * 0,8 * (1/S_acero_pared_vert)</t>
  </si>
  <si>
    <t>m3 de concreto de relleno por m2 de 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</si>
</sst>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0.0"/>
    <numFmt numFmtId="166" formatCode="#,##0.0000"/>
    <numFmt numFmtId="167" formatCode="#,##0.000"/>
    <numFmt numFmtId="168" formatCode="0.000"/>
    <numFmt numFmtId="169" formatCode="#,##0.0"/>
  </numFmts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sz val="8"/>
      <name val="Calibri"/>
      <family val="2"/>
      <scheme val="minor"/>
    </font>
    <font>
      <sz val="11"/>
      <color rgb="FF666666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63A5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5" fillId="6" borderId="1" xfId="0" applyFont="1" applyFill="1" applyBorder="1"/>
    <xf numFmtId="0" fontId="4" fillId="5" borderId="1" xfId="0" applyFont="1" applyFill="1" applyBorder="1" applyAlignment="1">
      <alignment vertical="top" wrapText="1"/>
    </xf>
    <xf numFmtId="4" fontId="5" fillId="6" borderId="1" xfId="0" applyNumberFormat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4" fontId="6" fillId="7" borderId="1" xfId="0" applyNumberFormat="1" applyFont="1" applyFill="1" applyBorder="1" applyAlignment="1">
      <alignment vertical="top" wrapText="1"/>
    </xf>
    <xf numFmtId="4" fontId="5" fillId="7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3" fontId="6" fillId="7" borderId="1" xfId="0" applyNumberFormat="1" applyFont="1" applyFill="1" applyBorder="1"/>
    <xf numFmtId="0" fontId="2" fillId="9" borderId="1" xfId="0" applyFont="1" applyFill="1" applyBorder="1" applyAlignment="1">
      <alignment horizontal="center"/>
    </xf>
    <xf numFmtId="0" fontId="6" fillId="7" borderId="1" xfId="0" applyFont="1" applyFill="1" applyBorder="1"/>
    <xf numFmtId="4" fontId="6" fillId="7" borderId="1" xfId="0" applyNumberFormat="1" applyFont="1" applyFill="1" applyBorder="1"/>
    <xf numFmtId="4" fontId="3" fillId="4" borderId="1" xfId="0" applyNumberFormat="1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4" fontId="5" fillId="7" borderId="5" xfId="0" applyNumberFormat="1" applyFont="1" applyFill="1" applyBorder="1" applyAlignment="1">
      <alignment vertical="top" wrapText="1"/>
    </xf>
    <xf numFmtId="4" fontId="6" fillId="7" borderId="5" xfId="0" applyNumberFormat="1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9" fillId="5" borderId="1" xfId="0" applyFont="1" applyFill="1" applyBorder="1"/>
    <xf numFmtId="0" fontId="10" fillId="3" borderId="1" xfId="0" applyFont="1" applyFill="1" applyBorder="1" applyAlignment="1">
      <alignment vertical="top" wrapText="1"/>
    </xf>
    <xf numFmtId="0" fontId="10" fillId="3" borderId="0" xfId="0" applyFont="1" applyFill="1" applyAlignment="1">
      <alignment vertical="top" wrapText="1"/>
    </xf>
    <xf numFmtId="165" fontId="0" fillId="0" borderId="0" xfId="0" applyNumberFormat="1"/>
    <xf numFmtId="0" fontId="9" fillId="5" borderId="5" xfId="0" applyFont="1" applyFill="1" applyBorder="1" applyAlignment="1">
      <alignment vertical="top" wrapText="1"/>
    </xf>
    <xf numFmtId="4" fontId="11" fillId="6" borderId="5" xfId="0" applyNumberFormat="1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5" fillId="6" borderId="5" xfId="0" applyFont="1" applyFill="1" applyBorder="1" applyAlignment="1">
      <alignment vertical="top" wrapText="1"/>
    </xf>
    <xf numFmtId="0" fontId="4" fillId="5" borderId="0" xfId="0" applyFont="1" applyFill="1"/>
    <xf numFmtId="4" fontId="5" fillId="6" borderId="0" xfId="0" applyNumberFormat="1" applyFont="1" applyFill="1" applyAlignment="1">
      <alignment vertical="top" wrapText="1"/>
    </xf>
    <xf numFmtId="4" fontId="0" fillId="0" borderId="0" xfId="0" applyNumberFormat="1"/>
    <xf numFmtId="0" fontId="6" fillId="7" borderId="5" xfId="0" applyFont="1" applyFill="1" applyBorder="1" applyAlignment="1">
      <alignment vertical="top" wrapText="1"/>
    </xf>
    <xf numFmtId="166" fontId="0" fillId="0" borderId="0" xfId="0" applyNumberFormat="1"/>
    <xf numFmtId="166" fontId="6" fillId="7" borderId="1" xfId="0" applyNumberFormat="1" applyFont="1" applyFill="1" applyBorder="1" applyAlignment="1">
      <alignment vertical="top" wrapText="1"/>
    </xf>
    <xf numFmtId="0" fontId="11" fillId="6" borderId="5" xfId="0" applyFont="1" applyFill="1" applyBorder="1" applyAlignment="1">
      <alignment vertical="top" wrapText="1"/>
    </xf>
    <xf numFmtId="4" fontId="11" fillId="7" borderId="5" xfId="0" applyNumberFormat="1" applyFont="1" applyFill="1" applyBorder="1" applyAlignment="1">
      <alignment vertical="top" wrapText="1"/>
    </xf>
    <xf numFmtId="4" fontId="10" fillId="7" borderId="5" xfId="0" applyNumberFormat="1" applyFont="1" applyFill="1" applyBorder="1" applyAlignment="1">
      <alignment vertical="top" wrapText="1"/>
    </xf>
    <xf numFmtId="167" fontId="11" fillId="7" borderId="5" xfId="0" applyNumberFormat="1" applyFont="1" applyFill="1" applyBorder="1" applyAlignment="1">
      <alignment vertical="top" wrapText="1"/>
    </xf>
    <xf numFmtId="168" fontId="0" fillId="0" borderId="0" xfId="0" applyNumberFormat="1"/>
    <xf numFmtId="169" fontId="11" fillId="7" borderId="5" xfId="0" applyNumberFormat="1" applyFont="1" applyFill="1" applyBorder="1" applyAlignment="1">
      <alignment vertical="top" wrapText="1"/>
    </xf>
    <xf numFmtId="0" fontId="4" fillId="5" borderId="5" xfId="0" applyFont="1" applyFill="1" applyBorder="1"/>
    <xf numFmtId="0" fontId="5" fillId="6" borderId="5" xfId="0" applyFont="1" applyFill="1" applyBorder="1"/>
    <xf numFmtId="0" fontId="4" fillId="10" borderId="5" xfId="0" applyFont="1" applyFill="1" applyBorder="1"/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901700</xdr:colOff>
      <xdr:row>29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35083BA-90DB-1847-B098-38E0ADC25C0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901700</xdr:colOff>
      <xdr:row>29</xdr:row>
      <xdr:rowOff>88900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28E4409-729F-B58C-DEB6-98082FF228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482600</xdr:colOff>
      <xdr:row>34</xdr:row>
      <xdr:rowOff>88900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92231D7C-57EA-B24A-2811-F189080255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482600</xdr:colOff>
      <xdr:row>34</xdr:row>
      <xdr:rowOff>88900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E92940F-9894-0998-A027-707142EB6D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workbookViewId="0">
      <selection activeCell="A12" sqref="A12"/>
    </sheetView>
  </sheetViews>
  <sheetFormatPr baseColWidth="10" defaultColWidth="8.7265625" defaultRowHeight="14.5" x14ac:dyDescent="0.35"/>
  <cols>
    <col min="1" max="1" width="26" customWidth="1"/>
    <col min="2" max="2" width="22" customWidth="1"/>
    <col min="3" max="8" width="18" customWidth="1"/>
  </cols>
  <sheetData>
    <row r="1" spans="1:8" x14ac:dyDescent="0.35">
      <c r="A1" s="52" t="s">
        <v>316</v>
      </c>
      <c r="B1" s="53"/>
      <c r="C1" s="53"/>
      <c r="D1" s="53"/>
      <c r="E1" s="53"/>
      <c r="F1" s="53"/>
      <c r="G1" s="53"/>
      <c r="H1" s="53"/>
    </row>
    <row r="2" spans="1:8" x14ac:dyDescent="0.35">
      <c r="A2" s="53"/>
      <c r="B2" s="53"/>
      <c r="C2" s="53"/>
      <c r="D2" s="53"/>
      <c r="E2" s="53"/>
      <c r="F2" s="53"/>
      <c r="G2" s="53"/>
      <c r="H2" s="53"/>
    </row>
    <row r="4" spans="1:8" ht="24" customHeight="1" x14ac:dyDescent="0.35">
      <c r="A4" s="1" t="s">
        <v>0</v>
      </c>
      <c r="B4" s="49" t="s">
        <v>1</v>
      </c>
      <c r="C4" s="50"/>
      <c r="D4" s="50"/>
      <c r="E4" s="50"/>
      <c r="F4" s="50"/>
      <c r="G4" s="50"/>
      <c r="H4" s="51"/>
    </row>
    <row r="5" spans="1:8" ht="24" customHeight="1" x14ac:dyDescent="0.35">
      <c r="A5" s="1" t="s">
        <v>2</v>
      </c>
      <c r="B5" s="49" t="s">
        <v>3</v>
      </c>
      <c r="C5" s="50"/>
      <c r="D5" s="50"/>
      <c r="E5" s="50"/>
      <c r="F5" s="50"/>
      <c r="G5" s="50"/>
      <c r="H5" s="51"/>
    </row>
    <row r="6" spans="1:8" ht="24" customHeight="1" x14ac:dyDescent="0.35">
      <c r="A6" s="1" t="s">
        <v>4</v>
      </c>
      <c r="B6" s="49" t="s">
        <v>5</v>
      </c>
      <c r="C6" s="50"/>
      <c r="D6" s="50"/>
      <c r="E6" s="50"/>
      <c r="F6" s="50"/>
      <c r="G6" s="50"/>
      <c r="H6" s="51"/>
    </row>
    <row r="7" spans="1:8" ht="24" customHeight="1" x14ac:dyDescent="0.35">
      <c r="A7" s="1" t="s">
        <v>6</v>
      </c>
      <c r="B7" s="49" t="s">
        <v>7</v>
      </c>
      <c r="C7" s="50"/>
      <c r="D7" s="50"/>
      <c r="E7" s="50"/>
      <c r="F7" s="50"/>
      <c r="G7" s="50"/>
      <c r="H7" s="51"/>
    </row>
    <row r="8" spans="1:8" ht="24" customHeight="1" x14ac:dyDescent="0.35">
      <c r="A8" s="1" t="s">
        <v>8</v>
      </c>
      <c r="B8" s="49" t="s">
        <v>9</v>
      </c>
      <c r="C8" s="50"/>
      <c r="D8" s="50"/>
      <c r="E8" s="50"/>
      <c r="F8" s="50"/>
      <c r="G8" s="50"/>
      <c r="H8" s="51"/>
    </row>
    <row r="9" spans="1:8" ht="24" customHeight="1" x14ac:dyDescent="0.35">
      <c r="A9" s="1" t="s">
        <v>10</v>
      </c>
      <c r="B9" s="49" t="s">
        <v>11</v>
      </c>
      <c r="C9" s="50"/>
      <c r="D9" s="50"/>
      <c r="E9" s="50"/>
      <c r="F9" s="50"/>
      <c r="G9" s="50"/>
      <c r="H9" s="51"/>
    </row>
    <row r="10" spans="1:8" ht="24" customHeight="1" x14ac:dyDescent="0.35">
      <c r="A10" s="2"/>
      <c r="B10" s="2"/>
      <c r="C10" s="2"/>
      <c r="D10" s="2"/>
      <c r="E10" s="2"/>
      <c r="F10" s="2"/>
      <c r="G10" s="2"/>
      <c r="H10" s="2"/>
    </row>
  </sheetData>
  <mergeCells count="7">
    <mergeCell ref="B7:H7"/>
    <mergeCell ref="A1:H2"/>
    <mergeCell ref="B5:H5"/>
    <mergeCell ref="B8:H8"/>
    <mergeCell ref="B9:H9"/>
    <mergeCell ref="B4:H4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workbookViewId="0">
      <selection activeCell="A7" sqref="A7"/>
    </sheetView>
  </sheetViews>
  <sheetFormatPr baseColWidth="10" defaultColWidth="8.7265625" defaultRowHeight="14.5" x14ac:dyDescent="0.35"/>
  <cols>
    <col min="1" max="1" width="15" customWidth="1"/>
    <col min="2" max="2" width="18" customWidth="1"/>
    <col min="3" max="3" width="22" customWidth="1"/>
    <col min="4" max="4" width="33.1796875" bestFit="1" customWidth="1"/>
    <col min="5" max="5" width="15.26953125" customWidth="1"/>
    <col min="6" max="6" width="10" customWidth="1"/>
    <col min="7" max="7" width="13.6328125" customWidth="1"/>
    <col min="8" max="9" width="10" customWidth="1"/>
    <col min="10" max="10" width="16" customWidth="1"/>
  </cols>
  <sheetData>
    <row r="1" spans="1:10" ht="15" thickBot="1" x14ac:dyDescent="0.4">
      <c r="A1" s="3" t="s">
        <v>12</v>
      </c>
      <c r="B1" s="3" t="s">
        <v>13</v>
      </c>
      <c r="C1" s="3" t="s">
        <v>14</v>
      </c>
      <c r="D1" s="3" t="s">
        <v>15</v>
      </c>
      <c r="E1" s="3" t="s">
        <v>17</v>
      </c>
      <c r="F1" s="3" t="s">
        <v>18</v>
      </c>
      <c r="G1" s="3" t="s">
        <v>317</v>
      </c>
      <c r="H1" s="3" t="s">
        <v>19</v>
      </c>
      <c r="I1" s="3" t="s">
        <v>20</v>
      </c>
      <c r="J1" s="3" t="s">
        <v>21</v>
      </c>
    </row>
    <row r="2" spans="1:10" x14ac:dyDescent="0.3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5">
        <v>1</v>
      </c>
      <c r="G2" s="4" t="s">
        <v>318</v>
      </c>
      <c r="H2" s="4" t="s">
        <v>27</v>
      </c>
      <c r="I2" s="4" t="s">
        <v>27</v>
      </c>
      <c r="J2" s="4" t="s">
        <v>28</v>
      </c>
    </row>
    <row r="3" spans="1:10" x14ac:dyDescent="0.35">
      <c r="A3" s="4" t="s">
        <v>29</v>
      </c>
      <c r="B3" s="4" t="s">
        <v>23</v>
      </c>
      <c r="C3" s="4" t="s">
        <v>24</v>
      </c>
      <c r="D3" s="4" t="s">
        <v>30</v>
      </c>
      <c r="E3" s="4" t="s">
        <v>26</v>
      </c>
      <c r="F3" s="5">
        <v>1</v>
      </c>
      <c r="G3" s="4" t="s">
        <v>318</v>
      </c>
      <c r="H3" s="4" t="s">
        <v>27</v>
      </c>
      <c r="I3" s="4" t="s">
        <v>27</v>
      </c>
      <c r="J3" s="4" t="s">
        <v>94</v>
      </c>
    </row>
    <row r="4" spans="1:10" x14ac:dyDescent="0.35">
      <c r="A4" s="4" t="s">
        <v>189</v>
      </c>
      <c r="B4" s="4" t="s">
        <v>23</v>
      </c>
      <c r="C4" s="4" t="s">
        <v>315</v>
      </c>
      <c r="D4" s="4" t="s">
        <v>190</v>
      </c>
      <c r="E4" s="4" t="s">
        <v>191</v>
      </c>
      <c r="F4" s="5">
        <v>80</v>
      </c>
      <c r="G4" s="4" t="s">
        <v>318</v>
      </c>
      <c r="H4" s="4" t="s">
        <v>27</v>
      </c>
      <c r="I4" s="4" t="s">
        <v>27</v>
      </c>
      <c r="J4" s="4" t="s">
        <v>192</v>
      </c>
    </row>
    <row r="5" spans="1:10" x14ac:dyDescent="0.35">
      <c r="A5" s="4" t="s">
        <v>218</v>
      </c>
      <c r="B5" s="4" t="s">
        <v>23</v>
      </c>
      <c r="C5" s="4" t="s">
        <v>219</v>
      </c>
      <c r="D5" s="4" t="s">
        <v>219</v>
      </c>
      <c r="E5" s="4" t="s">
        <v>26</v>
      </c>
      <c r="F5" s="5">
        <v>1</v>
      </c>
      <c r="G5" s="4" t="s">
        <v>27</v>
      </c>
      <c r="H5" s="4" t="s">
        <v>27</v>
      </c>
      <c r="I5" s="4" t="s">
        <v>27</v>
      </c>
      <c r="J5" s="4" t="s">
        <v>220</v>
      </c>
    </row>
    <row r="6" spans="1:10" x14ac:dyDescent="0.35">
      <c r="A6" s="4" t="s">
        <v>296</v>
      </c>
      <c r="B6" s="4" t="s">
        <v>23</v>
      </c>
      <c r="C6" s="4" t="s">
        <v>297</v>
      </c>
      <c r="D6" s="4" t="s">
        <v>297</v>
      </c>
      <c r="E6" s="4" t="s">
        <v>298</v>
      </c>
      <c r="F6" s="5">
        <v>8</v>
      </c>
      <c r="G6" s="4" t="s">
        <v>318</v>
      </c>
      <c r="H6" s="4" t="s">
        <v>27</v>
      </c>
      <c r="I6" s="4" t="s">
        <v>27</v>
      </c>
      <c r="J6" s="4" t="s">
        <v>299</v>
      </c>
    </row>
    <row r="7" spans="1:10" x14ac:dyDescent="0.35">
      <c r="A7" s="4" t="s">
        <v>326</v>
      </c>
      <c r="B7" s="4" t="s">
        <v>320</v>
      </c>
      <c r="C7" s="4" t="s">
        <v>321</v>
      </c>
      <c r="D7" s="4" t="s">
        <v>322</v>
      </c>
      <c r="E7" s="4" t="s">
        <v>324</v>
      </c>
      <c r="F7" s="5">
        <v>40</v>
      </c>
      <c r="G7" s="4" t="s">
        <v>27</v>
      </c>
      <c r="H7" s="4" t="s">
        <v>27</v>
      </c>
      <c r="I7" s="4" t="s">
        <v>27</v>
      </c>
      <c r="J7" s="4" t="s">
        <v>325</v>
      </c>
    </row>
    <row r="8" spans="1:10" x14ac:dyDescent="0.35">
      <c r="A8" s="4" t="s">
        <v>421</v>
      </c>
      <c r="B8" s="4" t="s">
        <v>320</v>
      </c>
      <c r="C8" s="4" t="s">
        <v>321</v>
      </c>
      <c r="D8" s="4" t="s">
        <v>419</v>
      </c>
      <c r="E8" s="4" t="s">
        <v>324</v>
      </c>
      <c r="F8" s="5">
        <f>F7</f>
        <v>40</v>
      </c>
      <c r="G8" s="4" t="s">
        <v>27</v>
      </c>
      <c r="H8" s="4" t="s">
        <v>27</v>
      </c>
      <c r="I8" s="4" t="s">
        <v>27</v>
      </c>
      <c r="J8" s="4" t="s">
        <v>420</v>
      </c>
    </row>
    <row r="9" spans="1:10" x14ac:dyDescent="0.35">
      <c r="A9" s="46" t="s">
        <v>463</v>
      </c>
      <c r="B9" s="46" t="s">
        <v>465</v>
      </c>
      <c r="C9" s="46" t="s">
        <v>464</v>
      </c>
      <c r="D9" s="46" t="s">
        <v>466</v>
      </c>
      <c r="E9" s="46" t="s">
        <v>191</v>
      </c>
      <c r="F9" s="47">
        <v>80</v>
      </c>
      <c r="G9" s="46" t="s">
        <v>27</v>
      </c>
      <c r="H9" s="46" t="s">
        <v>27</v>
      </c>
      <c r="I9" s="46" t="s">
        <v>27</v>
      </c>
      <c r="J9" s="46" t="s">
        <v>467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34"/>
  <sheetViews>
    <sheetView showGridLines="0" workbookViewId="0"/>
  </sheetViews>
  <sheetFormatPr baseColWidth="10" defaultColWidth="8.7265625" defaultRowHeight="14.5" x14ac:dyDescent="0.35"/>
  <cols>
    <col min="1" max="1" width="14" customWidth="1"/>
    <col min="2" max="2" width="18.1796875" customWidth="1"/>
    <col min="3" max="3" width="40" customWidth="1"/>
    <col min="4" max="4" width="25.1796875" customWidth="1"/>
    <col min="5" max="5" width="19.36328125" customWidth="1"/>
    <col min="6" max="6" width="22.7265625" customWidth="1"/>
    <col min="7" max="7" width="52.54296875" customWidth="1"/>
  </cols>
  <sheetData>
    <row r="1" spans="1:7" ht="29" x14ac:dyDescent="0.35">
      <c r="A1" s="3" t="s">
        <v>12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hidden="1" x14ac:dyDescent="0.35">
      <c r="A2" s="6" t="s">
        <v>22</v>
      </c>
      <c r="B2" s="6" t="s">
        <v>37</v>
      </c>
      <c r="C2" s="6" t="s">
        <v>38</v>
      </c>
      <c r="D2" s="6" t="s">
        <v>39</v>
      </c>
      <c r="E2" s="7">
        <v>1</v>
      </c>
      <c r="F2" s="6" t="s">
        <v>26</v>
      </c>
      <c r="G2" s="8" t="s">
        <v>40</v>
      </c>
    </row>
    <row r="3" spans="1:7" ht="29" hidden="1" x14ac:dyDescent="0.35">
      <c r="A3" s="6" t="s">
        <v>22</v>
      </c>
      <c r="B3" s="6" t="s">
        <v>37</v>
      </c>
      <c r="C3" s="6" t="s">
        <v>41</v>
      </c>
      <c r="D3" s="6" t="s">
        <v>42</v>
      </c>
      <c r="E3" s="7">
        <v>20</v>
      </c>
      <c r="F3" s="6" t="s">
        <v>43</v>
      </c>
      <c r="G3" s="8" t="s">
        <v>44</v>
      </c>
    </row>
    <row r="4" spans="1:7" hidden="1" x14ac:dyDescent="0.35">
      <c r="A4" s="6" t="s">
        <v>22</v>
      </c>
      <c r="B4" s="6" t="s">
        <v>37</v>
      </c>
      <c r="C4" s="6" t="s">
        <v>45</v>
      </c>
      <c r="D4" s="6" t="s">
        <v>46</v>
      </c>
      <c r="E4" s="7">
        <v>3</v>
      </c>
      <c r="F4" s="6" t="s">
        <v>26</v>
      </c>
      <c r="G4" s="8" t="s">
        <v>47</v>
      </c>
    </row>
    <row r="5" spans="1:7" hidden="1" x14ac:dyDescent="0.35">
      <c r="A5" s="6" t="s">
        <v>22</v>
      </c>
      <c r="B5" s="6" t="s">
        <v>48</v>
      </c>
      <c r="C5" s="6" t="s">
        <v>49</v>
      </c>
      <c r="D5" s="6" t="s">
        <v>50</v>
      </c>
      <c r="E5" s="7">
        <v>0.15</v>
      </c>
      <c r="F5" s="6" t="s">
        <v>51</v>
      </c>
      <c r="G5" s="8" t="s">
        <v>52</v>
      </c>
    </row>
    <row r="6" spans="1:7" ht="29" hidden="1" x14ac:dyDescent="0.35">
      <c r="A6" s="6" t="s">
        <v>22</v>
      </c>
      <c r="B6" s="6" t="s">
        <v>48</v>
      </c>
      <c r="C6" s="6" t="s">
        <v>53</v>
      </c>
      <c r="D6" s="6" t="s">
        <v>54</v>
      </c>
      <c r="E6" s="7">
        <v>2</v>
      </c>
      <c r="F6" s="6" t="s">
        <v>55</v>
      </c>
      <c r="G6" s="8" t="s">
        <v>56</v>
      </c>
    </row>
    <row r="7" spans="1:7" hidden="1" x14ac:dyDescent="0.35">
      <c r="A7" s="6" t="s">
        <v>22</v>
      </c>
      <c r="B7" s="6" t="s">
        <v>48</v>
      </c>
      <c r="C7" s="6" t="s">
        <v>57</v>
      </c>
      <c r="D7" s="6" t="s">
        <v>58</v>
      </c>
      <c r="E7" s="7">
        <v>0</v>
      </c>
      <c r="F7" s="6" t="s">
        <v>55</v>
      </c>
      <c r="G7" s="8" t="s">
        <v>59</v>
      </c>
    </row>
    <row r="8" spans="1:7" hidden="1" x14ac:dyDescent="0.35">
      <c r="A8" s="6" t="s">
        <v>29</v>
      </c>
      <c r="B8" s="6" t="s">
        <v>37</v>
      </c>
      <c r="C8" s="6" t="s">
        <v>60</v>
      </c>
      <c r="D8" s="6" t="s">
        <v>61</v>
      </c>
      <c r="E8" s="7">
        <v>1</v>
      </c>
      <c r="F8" s="6" t="s">
        <v>26</v>
      </c>
      <c r="G8" s="8" t="s">
        <v>62</v>
      </c>
    </row>
    <row r="9" spans="1:7" hidden="1" x14ac:dyDescent="0.35">
      <c r="A9" s="6" t="s">
        <v>29</v>
      </c>
      <c r="B9" s="6" t="s">
        <v>37</v>
      </c>
      <c r="C9" s="6" t="s">
        <v>63</v>
      </c>
      <c r="D9" s="6" t="s">
        <v>64</v>
      </c>
      <c r="E9" s="7">
        <v>10</v>
      </c>
      <c r="F9" s="6" t="s">
        <v>43</v>
      </c>
      <c r="G9" s="8" t="s">
        <v>65</v>
      </c>
    </row>
    <row r="10" spans="1:7" hidden="1" x14ac:dyDescent="0.35">
      <c r="A10" s="6" t="s">
        <v>189</v>
      </c>
      <c r="B10" s="6" t="s">
        <v>37</v>
      </c>
      <c r="C10" s="6" t="s">
        <v>193</v>
      </c>
      <c r="D10" s="6" t="s">
        <v>195</v>
      </c>
      <c r="E10" s="7">
        <v>1</v>
      </c>
      <c r="F10" s="6" t="s">
        <v>191</v>
      </c>
      <c r="G10" s="8" t="s">
        <v>198</v>
      </c>
    </row>
    <row r="11" spans="1:7" hidden="1" x14ac:dyDescent="0.35">
      <c r="A11" s="6" t="s">
        <v>189</v>
      </c>
      <c r="B11" s="6" t="s">
        <v>48</v>
      </c>
      <c r="C11" s="6" t="s">
        <v>194</v>
      </c>
      <c r="D11" s="6" t="s">
        <v>196</v>
      </c>
      <c r="E11" s="7">
        <v>1.2</v>
      </c>
      <c r="F11" s="6" t="s">
        <v>229</v>
      </c>
      <c r="G11" s="8" t="s">
        <v>199</v>
      </c>
    </row>
    <row r="12" spans="1:7" hidden="1" x14ac:dyDescent="0.35">
      <c r="A12" s="6" t="s">
        <v>218</v>
      </c>
      <c r="B12" s="6" t="s">
        <v>37</v>
      </c>
      <c r="C12" s="6" t="s">
        <v>221</v>
      </c>
      <c r="D12" s="6" t="s">
        <v>225</v>
      </c>
      <c r="E12" s="7">
        <v>4</v>
      </c>
      <c r="F12" s="6" t="s">
        <v>43</v>
      </c>
      <c r="G12" s="8" t="s">
        <v>230</v>
      </c>
    </row>
    <row r="13" spans="1:7" hidden="1" x14ac:dyDescent="0.35">
      <c r="A13" s="6" t="s">
        <v>218</v>
      </c>
      <c r="B13" s="6" t="s">
        <v>37</v>
      </c>
      <c r="C13" s="6" t="s">
        <v>222</v>
      </c>
      <c r="D13" s="6" t="s">
        <v>226</v>
      </c>
      <c r="E13" s="7">
        <v>3</v>
      </c>
      <c r="F13" s="6" t="s">
        <v>43</v>
      </c>
      <c r="G13" s="8" t="s">
        <v>231</v>
      </c>
    </row>
    <row r="14" spans="1:7" hidden="1" x14ac:dyDescent="0.35">
      <c r="A14" s="6" t="s">
        <v>218</v>
      </c>
      <c r="B14" s="6" t="s">
        <v>37</v>
      </c>
      <c r="C14" s="6" t="s">
        <v>223</v>
      </c>
      <c r="D14" s="6" t="s">
        <v>227</v>
      </c>
      <c r="E14" s="7">
        <v>2.4</v>
      </c>
      <c r="F14" s="6" t="s">
        <v>43</v>
      </c>
      <c r="G14" s="8" t="s">
        <v>232</v>
      </c>
    </row>
    <row r="15" spans="1:7" hidden="1" x14ac:dyDescent="0.35">
      <c r="A15" s="6" t="s">
        <v>218</v>
      </c>
      <c r="B15" s="6" t="s">
        <v>37</v>
      </c>
      <c r="C15" s="6" t="s">
        <v>224</v>
      </c>
      <c r="D15" s="6" t="s">
        <v>228</v>
      </c>
      <c r="E15" s="7">
        <v>1.25</v>
      </c>
      <c r="F15" s="6" t="s">
        <v>229</v>
      </c>
      <c r="G15" s="8" t="s">
        <v>233</v>
      </c>
    </row>
    <row r="16" spans="1:7" hidden="1" x14ac:dyDescent="0.35">
      <c r="A16" s="6" t="s">
        <v>218</v>
      </c>
      <c r="B16" s="6" t="s">
        <v>48</v>
      </c>
      <c r="C16" s="6" t="s">
        <v>281</v>
      </c>
      <c r="D16" s="6" t="s">
        <v>282</v>
      </c>
      <c r="E16" s="7">
        <v>1</v>
      </c>
      <c r="F16" s="6" t="s">
        <v>26</v>
      </c>
      <c r="G16" s="8" t="s">
        <v>283</v>
      </c>
    </row>
    <row r="17" spans="1:7" hidden="1" x14ac:dyDescent="0.35">
      <c r="A17" s="6" t="s">
        <v>296</v>
      </c>
      <c r="B17" s="21" t="s">
        <v>37</v>
      </c>
      <c r="C17" s="21" t="s">
        <v>303</v>
      </c>
      <c r="D17" s="21" t="s">
        <v>306</v>
      </c>
      <c r="E17" s="35">
        <v>2</v>
      </c>
      <c r="F17" s="21" t="s">
        <v>105</v>
      </c>
      <c r="G17" s="8" t="s">
        <v>304</v>
      </c>
    </row>
    <row r="18" spans="1:7" x14ac:dyDescent="0.35">
      <c r="A18" s="4" t="s">
        <v>326</v>
      </c>
      <c r="B18" s="21" t="s">
        <v>37</v>
      </c>
      <c r="C18" s="21" t="s">
        <v>327</v>
      </c>
      <c r="D18" s="21" t="s">
        <v>328</v>
      </c>
      <c r="E18" s="35">
        <v>0.6</v>
      </c>
      <c r="F18" s="21" t="s">
        <v>43</v>
      </c>
      <c r="G18" s="37" t="s">
        <v>329</v>
      </c>
    </row>
    <row r="19" spans="1:7" x14ac:dyDescent="0.35">
      <c r="A19" s="4" t="s">
        <v>326</v>
      </c>
      <c r="B19" s="21" t="s">
        <v>37</v>
      </c>
      <c r="C19" s="21" t="s">
        <v>330</v>
      </c>
      <c r="D19" s="21" t="s">
        <v>331</v>
      </c>
      <c r="E19" s="35">
        <v>0.35</v>
      </c>
      <c r="F19" s="21" t="s">
        <v>43</v>
      </c>
      <c r="G19" s="37" t="s">
        <v>332</v>
      </c>
    </row>
    <row r="20" spans="1:7" x14ac:dyDescent="0.35">
      <c r="A20" s="4" t="s">
        <v>326</v>
      </c>
      <c r="B20" s="21" t="s">
        <v>37</v>
      </c>
      <c r="C20" s="21" t="s">
        <v>333</v>
      </c>
      <c r="D20" s="21" t="s">
        <v>334</v>
      </c>
      <c r="E20" s="35">
        <v>0.2</v>
      </c>
      <c r="F20" s="21" t="s">
        <v>43</v>
      </c>
      <c r="G20" s="37" t="s">
        <v>335</v>
      </c>
    </row>
    <row r="21" spans="1:7" x14ac:dyDescent="0.35">
      <c r="A21" s="4" t="s">
        <v>326</v>
      </c>
      <c r="B21" s="21" t="s">
        <v>37</v>
      </c>
      <c r="C21" s="21" t="s">
        <v>364</v>
      </c>
      <c r="D21" s="21" t="s">
        <v>363</v>
      </c>
      <c r="E21" s="35">
        <v>3</v>
      </c>
      <c r="F21" s="21" t="s">
        <v>26</v>
      </c>
      <c r="G21" s="37" t="s">
        <v>365</v>
      </c>
    </row>
    <row r="22" spans="1:7" x14ac:dyDescent="0.35">
      <c r="A22" s="4" t="s">
        <v>326</v>
      </c>
      <c r="B22" s="21" t="s">
        <v>37</v>
      </c>
      <c r="C22" s="21" t="s">
        <v>366</v>
      </c>
      <c r="D22" s="21" t="s">
        <v>367</v>
      </c>
      <c r="E22" s="35">
        <v>0.2</v>
      </c>
      <c r="F22" s="21" t="s">
        <v>43</v>
      </c>
      <c r="G22" s="37" t="s">
        <v>368</v>
      </c>
    </row>
    <row r="23" spans="1:7" x14ac:dyDescent="0.35">
      <c r="A23" s="4" t="s">
        <v>326</v>
      </c>
      <c r="B23" s="6" t="s">
        <v>48</v>
      </c>
      <c r="C23" s="21" t="s">
        <v>336</v>
      </c>
      <c r="D23" s="21" t="s">
        <v>337</v>
      </c>
      <c r="E23" s="35">
        <v>0.1</v>
      </c>
      <c r="F23" s="21" t="s">
        <v>43</v>
      </c>
      <c r="G23" s="37" t="s">
        <v>338</v>
      </c>
    </row>
    <row r="24" spans="1:7" x14ac:dyDescent="0.35">
      <c r="A24" s="4" t="s">
        <v>326</v>
      </c>
      <c r="B24" s="6" t="s">
        <v>48</v>
      </c>
      <c r="C24" s="21" t="s">
        <v>412</v>
      </c>
      <c r="D24" s="21" t="s">
        <v>351</v>
      </c>
      <c r="E24" s="35">
        <v>0.05</v>
      </c>
      <c r="F24" s="21" t="s">
        <v>43</v>
      </c>
      <c r="G24" s="37" t="s">
        <v>352</v>
      </c>
    </row>
    <row r="25" spans="1:7" x14ac:dyDescent="0.35">
      <c r="A25" s="4" t="s">
        <v>326</v>
      </c>
      <c r="B25" s="6" t="s">
        <v>48</v>
      </c>
      <c r="C25" s="21" t="s">
        <v>358</v>
      </c>
      <c r="D25" s="21" t="s">
        <v>359</v>
      </c>
      <c r="E25" s="35">
        <v>0.2</v>
      </c>
      <c r="F25" s="21" t="s">
        <v>360</v>
      </c>
      <c r="G25" s="37" t="s">
        <v>361</v>
      </c>
    </row>
    <row r="26" spans="1:7" x14ac:dyDescent="0.35">
      <c r="A26" s="4" t="s">
        <v>326</v>
      </c>
      <c r="B26" s="6" t="s">
        <v>48</v>
      </c>
      <c r="C26" s="21" t="s">
        <v>370</v>
      </c>
      <c r="D26" s="21" t="s">
        <v>371</v>
      </c>
      <c r="E26" s="35">
        <v>0.04</v>
      </c>
      <c r="F26" s="21" t="s">
        <v>43</v>
      </c>
      <c r="G26" s="37" t="s">
        <v>369</v>
      </c>
    </row>
    <row r="27" spans="1:7" hidden="1" x14ac:dyDescent="0.35">
      <c r="A27" s="4" t="s">
        <v>421</v>
      </c>
      <c r="B27" s="6" t="s">
        <v>37</v>
      </c>
      <c r="C27" s="21" t="s">
        <v>422</v>
      </c>
      <c r="D27" s="21" t="s">
        <v>444</v>
      </c>
      <c r="E27" s="35">
        <v>0.12</v>
      </c>
      <c r="F27" s="21" t="s">
        <v>43</v>
      </c>
      <c r="G27" s="37" t="s">
        <v>423</v>
      </c>
    </row>
    <row r="28" spans="1:7" hidden="1" x14ac:dyDescent="0.35">
      <c r="A28" s="4" t="s">
        <v>421</v>
      </c>
      <c r="B28" s="6" t="s">
        <v>37</v>
      </c>
      <c r="C28" s="21" t="s">
        <v>424</v>
      </c>
      <c r="D28" s="21" t="s">
        <v>425</v>
      </c>
      <c r="E28" s="35">
        <v>2</v>
      </c>
      <c r="F28" s="21" t="s">
        <v>426</v>
      </c>
      <c r="G28" s="37" t="s">
        <v>427</v>
      </c>
    </row>
    <row r="29" spans="1:7" hidden="1" x14ac:dyDescent="0.35">
      <c r="A29" s="4" t="s">
        <v>421</v>
      </c>
      <c r="B29" s="21" t="s">
        <v>37</v>
      </c>
      <c r="C29" s="21" t="s">
        <v>429</v>
      </c>
      <c r="D29" s="21" t="s">
        <v>432</v>
      </c>
      <c r="E29" s="35">
        <v>0.6</v>
      </c>
      <c r="F29" s="21" t="s">
        <v>43</v>
      </c>
      <c r="G29" s="37" t="s">
        <v>428</v>
      </c>
    </row>
    <row r="30" spans="1:7" hidden="1" x14ac:dyDescent="0.35">
      <c r="A30" s="4" t="s">
        <v>421</v>
      </c>
      <c r="B30" s="21" t="s">
        <v>37</v>
      </c>
      <c r="C30" s="21" t="s">
        <v>430</v>
      </c>
      <c r="D30" s="21" t="s">
        <v>431</v>
      </c>
      <c r="E30" s="35">
        <v>0.4</v>
      </c>
      <c r="F30" s="21" t="s">
        <v>43</v>
      </c>
      <c r="G30" s="37" t="s">
        <v>433</v>
      </c>
    </row>
    <row r="31" spans="1:7" hidden="1" x14ac:dyDescent="0.35">
      <c r="A31" s="46" t="s">
        <v>463</v>
      </c>
      <c r="B31" s="21" t="s">
        <v>37</v>
      </c>
      <c r="C31" s="21" t="s">
        <v>468</v>
      </c>
      <c r="D31" s="21" t="s">
        <v>469</v>
      </c>
      <c r="E31" s="35">
        <v>0.12</v>
      </c>
      <c r="F31" s="21" t="s">
        <v>43</v>
      </c>
      <c r="G31" s="37" t="s">
        <v>470</v>
      </c>
    </row>
    <row r="32" spans="1:7" hidden="1" x14ac:dyDescent="0.35">
      <c r="A32" s="46" t="s">
        <v>463</v>
      </c>
      <c r="B32" s="21" t="s">
        <v>37</v>
      </c>
      <c r="C32" s="21" t="s">
        <v>475</v>
      </c>
      <c r="D32" s="21" t="s">
        <v>477</v>
      </c>
      <c r="E32" s="35">
        <v>0.6</v>
      </c>
      <c r="F32" s="21" t="s">
        <v>43</v>
      </c>
      <c r="G32" s="37" t="s">
        <v>479</v>
      </c>
    </row>
    <row r="33" spans="1:7" hidden="1" x14ac:dyDescent="0.35">
      <c r="A33" s="46" t="s">
        <v>463</v>
      </c>
      <c r="B33" s="21" t="s">
        <v>37</v>
      </c>
      <c r="C33" s="21" t="s">
        <v>476</v>
      </c>
      <c r="D33" s="21" t="s">
        <v>478</v>
      </c>
      <c r="E33" s="35">
        <v>0.4</v>
      </c>
      <c r="F33" s="21" t="s">
        <v>43</v>
      </c>
      <c r="G33" s="37" t="s">
        <v>480</v>
      </c>
    </row>
    <row r="34" spans="1:7" hidden="1" x14ac:dyDescent="0.35">
      <c r="A34" s="46" t="s">
        <v>463</v>
      </c>
      <c r="B34" s="6" t="s">
        <v>48</v>
      </c>
      <c r="C34" s="21" t="s">
        <v>471</v>
      </c>
      <c r="D34" s="21" t="s">
        <v>472</v>
      </c>
      <c r="E34" s="35">
        <v>0.05</v>
      </c>
      <c r="F34" s="21" t="s">
        <v>473</v>
      </c>
      <c r="G34" s="37" t="s">
        <v>474</v>
      </c>
    </row>
  </sheetData>
  <autoFilter ref="A1:G34" xr:uid="{00000000-0001-0000-0200-000000000000}">
    <filterColumn colId="0">
      <filters>
        <filter val="EDT-FUN-001"/>
      </filters>
    </filterColumn>
  </autoFilter>
  <phoneticPr fontId="8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B559-7D36-41B8-BB13-C735F86BEB01}">
  <sheetPr filterMode="1"/>
  <dimension ref="A1:G8"/>
  <sheetViews>
    <sheetView topLeftCell="B1" workbookViewId="0">
      <selection activeCell="C10" sqref="C10"/>
    </sheetView>
  </sheetViews>
  <sheetFormatPr baseColWidth="10" defaultRowHeight="14.5" x14ac:dyDescent="0.35"/>
  <cols>
    <col min="1" max="1" width="21.1796875" customWidth="1"/>
    <col min="2" max="2" width="11.453125" bestFit="1" customWidth="1"/>
    <col min="3" max="3" width="22.08984375" bestFit="1" customWidth="1"/>
    <col min="4" max="4" width="26.08984375" customWidth="1"/>
    <col min="5" max="5" width="57.36328125" customWidth="1"/>
    <col min="6" max="6" width="18.7265625" customWidth="1"/>
    <col min="7" max="7" width="17.81640625" customWidth="1"/>
  </cols>
  <sheetData>
    <row r="1" spans="1:7" ht="15" thickBot="1" x14ac:dyDescent="0.4">
      <c r="A1" s="3" t="s">
        <v>234</v>
      </c>
      <c r="B1" s="3" t="s">
        <v>12</v>
      </c>
      <c r="C1" s="3" t="s">
        <v>236</v>
      </c>
      <c r="D1" s="3" t="s">
        <v>66</v>
      </c>
      <c r="E1" s="3" t="s">
        <v>238</v>
      </c>
      <c r="F1" s="3" t="s">
        <v>240</v>
      </c>
      <c r="G1" s="3" t="s">
        <v>241</v>
      </c>
    </row>
    <row r="2" spans="1:7" hidden="1" x14ac:dyDescent="0.35">
      <c r="A2" s="25" t="s">
        <v>235</v>
      </c>
      <c r="B2" s="25" t="s">
        <v>218</v>
      </c>
      <c r="C2" t="s">
        <v>242</v>
      </c>
      <c r="D2" t="s">
        <v>239</v>
      </c>
      <c r="E2" s="9" t="s">
        <v>237</v>
      </c>
      <c r="F2" s="28">
        <f>SUMIFS(PARAMETROS!$E$2:$E$199,PARAMETROS!$A$2:$A$199,B2,PARAMETROS!$D$2:$D$199,"L_bodega")*SUMIFS(PARAMETROS!$E$2:$E$199,PARAMETROS!$A$2:$A$199,B2,PARAMETROS!$D$2:$D$199,"A_bodega")</f>
        <v>12</v>
      </c>
      <c r="G2" t="s">
        <v>191</v>
      </c>
    </row>
    <row r="3" spans="1:7" hidden="1" x14ac:dyDescent="0.35">
      <c r="A3" s="25" t="s">
        <v>245</v>
      </c>
      <c r="B3" s="25" t="s">
        <v>218</v>
      </c>
      <c r="C3" t="s">
        <v>243</v>
      </c>
      <c r="D3" t="s">
        <v>244</v>
      </c>
      <c r="E3" s="26" t="s">
        <v>246</v>
      </c>
      <c r="F3" s="28">
        <f>2*(SUMIFS(PARAMETROS!$E$2:$E$199,PARAMETROS!$A$2:$A$199,B3,PARAMETROS!$D$2:$D$199,"L_bodega")+SUMIFS(PARAMETROS!$E$2:$E$199,PARAMETROS!$A$2:$A$199,B3,PARAMETROS!$D$2:$D$199,"A_bodega"))</f>
        <v>14</v>
      </c>
      <c r="G3" t="s">
        <v>43</v>
      </c>
    </row>
    <row r="4" spans="1:7" hidden="1" x14ac:dyDescent="0.35">
      <c r="A4" s="25" t="s">
        <v>248</v>
      </c>
      <c r="B4" s="25" t="s">
        <v>218</v>
      </c>
      <c r="C4" t="s">
        <v>247</v>
      </c>
      <c r="D4" t="s">
        <v>249</v>
      </c>
      <c r="E4" s="26" t="s">
        <v>250</v>
      </c>
      <c r="F4" s="28">
        <f>2*(SUMIFS(PARAMETROS!$E$2:$E$199,PARAMETROS!$A$2:$A$199,B4,PARAMETROS!$D$2:$D$199,"L_bodega")+SUMIFS(PARAMETROS!$E$2:$E$199,PARAMETROS!$A$2:$A$199,B4,PARAMETROS!$D$2:$D$199,"A_bodega"))*SUMIFS(PARAMETROS!$E$2:$E$199,PARAMETROS!$A$2:$A$199,B4,PARAMETROS!$D$2:$D$199,"H_bodega")</f>
        <v>33.6</v>
      </c>
      <c r="G4" t="s">
        <v>191</v>
      </c>
    </row>
    <row r="5" spans="1:7" hidden="1" x14ac:dyDescent="0.35">
      <c r="A5" s="25" t="s">
        <v>252</v>
      </c>
      <c r="B5" s="25" t="s">
        <v>218</v>
      </c>
      <c r="C5" t="s">
        <v>251</v>
      </c>
      <c r="D5" t="s">
        <v>253</v>
      </c>
      <c r="E5" s="27" t="s">
        <v>254</v>
      </c>
      <c r="F5" s="28">
        <f>SUMIFS(PARAMETROS!$E$2:$E$199,PARAMETROS!$A$2:$A$199,B5,PARAMETROS!$D$2:$D$199,"L_bodega")*SUMIFS(PARAMETROS!$E$2:$E$199,PARAMETROS!$A$2:$A$199,B5,PARAMETROS!$D$2:$D$199,"A_bodega")*SUMIFS(PARAMETROS!$E$2:$E$199,PARAMETROS!$A$2:$A$199,B5,PARAMETROS!$D$2:$D$199,"f_techo_bodega")</f>
        <v>15</v>
      </c>
      <c r="G5" t="s">
        <v>191</v>
      </c>
    </row>
    <row r="6" spans="1:7" x14ac:dyDescent="0.35">
      <c r="A6" s="25" t="s">
        <v>339</v>
      </c>
      <c r="B6" s="4" t="s">
        <v>326</v>
      </c>
      <c r="C6" t="s">
        <v>349</v>
      </c>
      <c r="D6" t="s">
        <v>350</v>
      </c>
      <c r="E6" s="27" t="s">
        <v>353</v>
      </c>
      <c r="F6" s="38">
        <f>(SUMIFS(PARAMETROS!$E$2:$E$199,PARAMETROS!$A$2:$A$199,B6,PARAMETROS!$D$2:$D$199,"B_cimentación")+SUMIFS(PARAMETROS!$E$2:$E$199,PARAMETROS!$A$2:$A$199,B6,PARAMETROS!$D$2:$D$199,"Sobrexc_cimiento"))*(SUMIFS(PARAMETROS!$E$2:$E$199,PARAMETROS!$A$2:$A$199,B6,PARAMETROS!$D$2:$D$199,"Prof_cimentación")+SUMIFS(PARAMETROS!$E$2:$E$199,PARAMETROS!$A$2:$A$199,B6,PARAMETROS!$D$2:$D$199,"E_sello"))</f>
        <v>0.29249999999999998</v>
      </c>
      <c r="G6" t="s">
        <v>191</v>
      </c>
    </row>
    <row r="7" spans="1:7" x14ac:dyDescent="0.35">
      <c r="A7" s="25" t="s">
        <v>384</v>
      </c>
      <c r="B7" s="4" t="s">
        <v>326</v>
      </c>
      <c r="C7" t="s">
        <v>355</v>
      </c>
      <c r="D7" t="s">
        <v>356</v>
      </c>
      <c r="E7" s="27" t="s">
        <v>357</v>
      </c>
      <c r="F7" s="38">
        <f>SUMIFS(PARAMETROS!$E$2:$E$199,PARAMETROS!$A$2:$A$199,B7,PARAMETROS!$D$2:$D$199,"E_sello")*(SUMIFS(PARAMETROS!$E$2:$E$199,PARAMETROS!$A$2:$A$199,B7,PARAMETROS!$D$2:$D$199,"B_cimentación")+SUMIFS(PARAMETROS!$E$2:$E$199,PARAMETROS!$A$2:$A$199,B7,PARAMETROS!$D$2:$D$199,"Sobrexc_cimiento"))</f>
        <v>2.2499999999999999E-2</v>
      </c>
      <c r="G7" t="s">
        <v>191</v>
      </c>
    </row>
    <row r="8" spans="1:7" x14ac:dyDescent="0.35">
      <c r="A8" s="25" t="s">
        <v>385</v>
      </c>
      <c r="B8" s="4" t="s">
        <v>326</v>
      </c>
      <c r="C8" t="s">
        <v>375</v>
      </c>
      <c r="D8" t="s">
        <v>376</v>
      </c>
      <c r="E8" s="27" t="s">
        <v>377</v>
      </c>
      <c r="F8">
        <f>SUMIFS(PARAMETROS!$E$2:$E$199,PARAMETROS!$A$2:$A$199,B8,PARAMETROS!$D$2:$D$199,"B_cimentación")*SUMIFS(PARAMETROS!$E$2:$E$199,PARAMETROS!$A$2:$A$199,B6,PARAMETROS!$D$2:$D$199,"H_cimentación")</f>
        <v>6.9999999999999993E-2</v>
      </c>
      <c r="G8" t="s">
        <v>191</v>
      </c>
    </row>
  </sheetData>
  <autoFilter ref="A1:G8" xr:uid="{9D67B559-7D36-41B8-BB13-C735F86BEB01}">
    <filterColumn colId="1">
      <filters>
        <filter val="EDT-FUN-001"/>
      </filters>
    </filterColumn>
  </autoFilter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24"/>
  <sheetViews>
    <sheetView showGridLines="0" topLeftCell="B1" workbookViewId="0">
      <selection activeCell="D15" sqref="D15"/>
    </sheetView>
  </sheetViews>
  <sheetFormatPr baseColWidth="10" defaultColWidth="8.7265625" defaultRowHeight="14.5" x14ac:dyDescent="0.35"/>
  <cols>
    <col min="1" max="2" width="14" customWidth="1"/>
    <col min="3" max="3" width="18" customWidth="1"/>
    <col min="4" max="4" width="31.54296875" customWidth="1"/>
    <col min="5" max="5" width="10" customWidth="1"/>
    <col min="6" max="6" width="65.7265625" customWidth="1"/>
    <col min="7" max="7" width="21.26953125" customWidth="1"/>
    <col min="8" max="8" width="12" customWidth="1"/>
    <col min="9" max="9" width="37.36328125" customWidth="1"/>
  </cols>
  <sheetData>
    <row r="1" spans="1:9" ht="29" x14ac:dyDescent="0.35">
      <c r="A1" s="3" t="s">
        <v>21</v>
      </c>
      <c r="B1" s="3" t="s">
        <v>12</v>
      </c>
      <c r="C1" s="3" t="s">
        <v>323</v>
      </c>
      <c r="D1" s="3" t="s">
        <v>16</v>
      </c>
      <c r="E1" s="3" t="s">
        <v>86</v>
      </c>
      <c r="F1" s="3" t="s">
        <v>67</v>
      </c>
      <c r="G1" s="3" t="s">
        <v>87</v>
      </c>
      <c r="H1" s="3" t="s">
        <v>88</v>
      </c>
      <c r="I1" s="3" t="s">
        <v>36</v>
      </c>
    </row>
    <row r="2" spans="1:9" hidden="1" x14ac:dyDescent="0.35">
      <c r="A2" s="6" t="s">
        <v>28</v>
      </c>
      <c r="B2" s="6" t="s">
        <v>22</v>
      </c>
      <c r="C2" s="6" t="s">
        <v>68</v>
      </c>
      <c r="D2" s="6" t="s">
        <v>69</v>
      </c>
      <c r="E2" s="6" t="s">
        <v>26</v>
      </c>
      <c r="F2" s="9" t="s">
        <v>39</v>
      </c>
      <c r="G2" s="10">
        <f>SUMIFS(PARAMETROS!$E$2:$E$198,PARAMETROS!$A$2:$A$198,$B2,PARAMETROS!$D$2:$D$198,"C_agua")</f>
        <v>1</v>
      </c>
      <c r="H2" s="6" t="s">
        <v>26</v>
      </c>
      <c r="I2" s="6" t="s">
        <v>89</v>
      </c>
    </row>
    <row r="3" spans="1:9" hidden="1" x14ac:dyDescent="0.35">
      <c r="A3" s="6" t="s">
        <v>28</v>
      </c>
      <c r="B3" s="6" t="s">
        <v>22</v>
      </c>
      <c r="C3" s="6" t="s">
        <v>70</v>
      </c>
      <c r="D3" s="6" t="s">
        <v>71</v>
      </c>
      <c r="E3" s="6" t="s">
        <v>43</v>
      </c>
      <c r="F3" s="9" t="s">
        <v>42</v>
      </c>
      <c r="G3" s="10">
        <f>SUMIFS(PARAMETROS!$E$2:$E$198,PARAMETROS!$A$2:$A$198,$B3,PARAMETROS!$D$2:$D$198,"L_agua")</f>
        <v>20</v>
      </c>
      <c r="H3" s="6" t="s">
        <v>43</v>
      </c>
      <c r="I3" s="6" t="s">
        <v>90</v>
      </c>
    </row>
    <row r="4" spans="1:9" hidden="1" x14ac:dyDescent="0.35">
      <c r="A4" s="6" t="s">
        <v>28</v>
      </c>
      <c r="B4" s="6" t="s">
        <v>22</v>
      </c>
      <c r="C4" s="6" t="s">
        <v>72</v>
      </c>
      <c r="D4" s="6" t="s">
        <v>73</v>
      </c>
      <c r="E4" s="6" t="s">
        <v>26</v>
      </c>
      <c r="F4" s="9" t="s">
        <v>46</v>
      </c>
      <c r="G4" s="10">
        <f>SUMIFS(PARAMETROS!$E$2:$E$198,PARAMETROS!$A$2:$A$198,$B4,PARAMETROS!$D$2:$D$198,"P_agua")</f>
        <v>3</v>
      </c>
      <c r="H4" s="6" t="s">
        <v>26</v>
      </c>
      <c r="I4" s="6" t="s">
        <v>91</v>
      </c>
    </row>
    <row r="5" spans="1:9" ht="29" hidden="1" x14ac:dyDescent="0.35">
      <c r="A5" s="6" t="s">
        <v>28</v>
      </c>
      <c r="B5" s="6" t="s">
        <v>22</v>
      </c>
      <c r="C5" s="6" t="s">
        <v>74</v>
      </c>
      <c r="D5" s="6" t="s">
        <v>75</v>
      </c>
      <c r="E5" s="6" t="s">
        <v>26</v>
      </c>
      <c r="F5" s="9" t="s">
        <v>76</v>
      </c>
      <c r="G5" s="10">
        <f>ROUNDUP(SUMIFS(PARAMETROS!$E$2:$E$198,PARAMETROS!$A$2:$A$198,$B5,PARAMETROS!$D$2:$D$198,"L_agua")*SUMIFS(PARAMETROS!$E$2:$E$198,PARAMETROS!$A$2:$A$198,$B5,PARAMETROS!$D$2:$D$198,"f_lineal_agua")+SUMIFS(PARAMETROS!$E$2:$E$198,PARAMETROS!$A$2:$A$198,$B5,PARAMETROS!$D$2:$D$198,"P_agua")*SUMIFS(PARAMETROS!$E$2:$E$198,PARAMETROS!$A$2:$A$198,$B5,PARAMETROS!$D$2:$D$198,"f_puntos_agua"),0)</f>
        <v>9</v>
      </c>
      <c r="H5" s="6" t="s">
        <v>26</v>
      </c>
      <c r="I5" s="6" t="s">
        <v>92</v>
      </c>
    </row>
    <row r="6" spans="1:9" hidden="1" x14ac:dyDescent="0.35">
      <c r="A6" s="6" t="s">
        <v>28</v>
      </c>
      <c r="B6" s="6" t="s">
        <v>22</v>
      </c>
      <c r="C6" s="6" t="s">
        <v>77</v>
      </c>
      <c r="D6" s="6" t="s">
        <v>78</v>
      </c>
      <c r="E6" s="6" t="s">
        <v>26</v>
      </c>
      <c r="F6" s="9" t="s">
        <v>79</v>
      </c>
      <c r="G6" s="10">
        <f>ROUNDUP(SUMIFS(PARAMETROS!$E$2:$E$198,PARAMETROS!$A$2:$A$198,$B6,PARAMETROS!$D$2:$D$198,"C_agua")+SUMIFS(PARAMETROS!$E$2:$E$198,PARAMETROS!$A$2:$A$198,$B6,PARAMETROS!$D$2:$D$198,"P_agua")*SUMIFS(PARAMETROS!$E$2:$E$198,PARAMETROS!$A$2:$A$198,$B6,PARAMETROS!$D$2:$D$198,"Val_punto"),0)</f>
        <v>1</v>
      </c>
      <c r="H6" s="6" t="s">
        <v>26</v>
      </c>
      <c r="I6" s="6" t="s">
        <v>93</v>
      </c>
    </row>
    <row r="7" spans="1:9" hidden="1" x14ac:dyDescent="0.35">
      <c r="A7" s="6" t="s">
        <v>94</v>
      </c>
      <c r="B7" s="6" t="s">
        <v>29</v>
      </c>
      <c r="C7" s="6" t="s">
        <v>80</v>
      </c>
      <c r="D7" s="6" t="s">
        <v>81</v>
      </c>
      <c r="E7" s="6" t="s">
        <v>26</v>
      </c>
      <c r="F7" s="9" t="s">
        <v>61</v>
      </c>
      <c r="G7" s="10">
        <f>SUMIFS(PARAMETROS!$E$2:$E$198,PARAMETROS!$A$2:$A$198,$B7,PARAMETROS!$D$2:$D$198,"C_elec")</f>
        <v>1</v>
      </c>
      <c r="H7" s="6" t="s">
        <v>26</v>
      </c>
      <c r="I7" s="6" t="s">
        <v>95</v>
      </c>
    </row>
    <row r="8" spans="1:9" hidden="1" x14ac:dyDescent="0.35">
      <c r="A8" s="6" t="s">
        <v>94</v>
      </c>
      <c r="B8" s="6" t="s">
        <v>29</v>
      </c>
      <c r="C8" s="6" t="s">
        <v>82</v>
      </c>
      <c r="D8" s="6" t="s">
        <v>83</v>
      </c>
      <c r="E8" s="6" t="s">
        <v>43</v>
      </c>
      <c r="F8" s="9" t="s">
        <v>64</v>
      </c>
      <c r="G8" s="10">
        <f>SUMIFS(PARAMETROS!$E$2:$E$198,PARAMETROS!$A$2:$A$198,$B8,PARAMETROS!$D$2:$D$198,"L_elec")</f>
        <v>10</v>
      </c>
      <c r="H8" s="6" t="s">
        <v>43</v>
      </c>
      <c r="I8" s="6" t="s">
        <v>96</v>
      </c>
    </row>
    <row r="9" spans="1:9" hidden="1" x14ac:dyDescent="0.35">
      <c r="A9" s="4" t="s">
        <v>192</v>
      </c>
      <c r="B9" s="6" t="s">
        <v>189</v>
      </c>
      <c r="C9" s="4" t="s">
        <v>203</v>
      </c>
      <c r="D9" s="21" t="s">
        <v>200</v>
      </c>
      <c r="E9" s="21" t="s">
        <v>191</v>
      </c>
      <c r="F9" s="24" t="s">
        <v>201</v>
      </c>
      <c r="G9" s="10">
        <f>SUMIFS(PARAMETROS!$E$2:$E$198,PARAMETROS!$A$2:$A$198,$B9,PARAMETROS!$D$2:$D$198,"A_obra")*SUMIFS(PARAMETROS!$E$2:$E$198,PARAMETROS!$A$2:$A$198,$B9,PARAMETROS!$D$2:$D$198,"f_area_ln")</f>
        <v>1.2</v>
      </c>
      <c r="H9" s="21" t="s">
        <v>191</v>
      </c>
      <c r="I9" s="21" t="s">
        <v>202</v>
      </c>
    </row>
    <row r="10" spans="1:9" hidden="1" x14ac:dyDescent="0.35">
      <c r="A10" s="4" t="s">
        <v>220</v>
      </c>
      <c r="B10" s="6" t="s">
        <v>218</v>
      </c>
      <c r="C10" s="25" t="s">
        <v>255</v>
      </c>
      <c r="D10" s="29" t="s">
        <v>256</v>
      </c>
      <c r="E10" s="29" t="s">
        <v>43</v>
      </c>
      <c r="F10" s="31" t="s">
        <v>243</v>
      </c>
      <c r="G10" s="28">
        <f>SUMIFS(VARIABLES_CALCULADAS!$F$2:$F$198,VARIABLES_CALCULADAS!$B$2:$B$198,B10,VARIABLES_CALCULADAS!$C$2:$C$198,"Perimetro_bodega")</f>
        <v>14</v>
      </c>
      <c r="H10" s="29" t="s">
        <v>43</v>
      </c>
      <c r="I10" s="29" t="s">
        <v>319</v>
      </c>
    </row>
    <row r="11" spans="1:9" hidden="1" x14ac:dyDescent="0.35">
      <c r="A11" s="4" t="s">
        <v>220</v>
      </c>
      <c r="B11" s="6" t="s">
        <v>218</v>
      </c>
      <c r="C11" s="25" t="s">
        <v>260</v>
      </c>
      <c r="D11" s="29" t="s">
        <v>257</v>
      </c>
      <c r="E11" s="29" t="s">
        <v>191</v>
      </c>
      <c r="F11" s="31" t="s">
        <v>247</v>
      </c>
      <c r="G11" s="28">
        <f>SUMIFS(VARIABLES_CALCULADAS!$F$2:$F$198,VARIABLES_CALCULADAS!$B$2:$B$198,B11,VARIABLES_CALCULADAS!$C$2:$C$198,"Area_pared_bodega")</f>
        <v>33.6</v>
      </c>
      <c r="H11" s="29" t="s">
        <v>191</v>
      </c>
      <c r="I11" s="29" t="s">
        <v>270</v>
      </c>
    </row>
    <row r="12" spans="1:9" hidden="1" x14ac:dyDescent="0.35">
      <c r="A12" s="4" t="s">
        <v>220</v>
      </c>
      <c r="B12" s="6" t="s">
        <v>218</v>
      </c>
      <c r="C12" s="25" t="s">
        <v>261</v>
      </c>
      <c r="D12" s="29" t="s">
        <v>258</v>
      </c>
      <c r="E12" s="29" t="s">
        <v>191</v>
      </c>
      <c r="F12" s="31" t="s">
        <v>251</v>
      </c>
      <c r="G12" s="28">
        <f>SUMIFS(VARIABLES_CALCULADAS!$F$2:$F$198,VARIABLES_CALCULADAS!$B$2:$B$198,B12,VARIABLES_CALCULADAS!$C$2:$C$198,"Area_cubierta_techo")</f>
        <v>15</v>
      </c>
      <c r="H12" s="29" t="s">
        <v>191</v>
      </c>
      <c r="I12" s="29" t="s">
        <v>280</v>
      </c>
    </row>
    <row r="13" spans="1:9" hidden="1" x14ac:dyDescent="0.35">
      <c r="A13" s="4" t="s">
        <v>220</v>
      </c>
      <c r="B13" s="6" t="s">
        <v>218</v>
      </c>
      <c r="C13" s="25" t="s">
        <v>262</v>
      </c>
      <c r="D13" s="29" t="s">
        <v>259</v>
      </c>
      <c r="E13" s="29" t="s">
        <v>26</v>
      </c>
      <c r="F13" s="31" t="s">
        <v>282</v>
      </c>
      <c r="G13">
        <f>SUMIFS(PARAMETROS!$E$2:$E$198,PARAMETROS!$A$2:$A$198,$B13,PARAMETROS!$D$2:$D$198,"Puerta_bodega")</f>
        <v>1</v>
      </c>
      <c r="H13" s="29" t="s">
        <v>26</v>
      </c>
      <c r="I13" s="29" t="s">
        <v>284</v>
      </c>
    </row>
    <row r="14" spans="1:9" hidden="1" x14ac:dyDescent="0.35">
      <c r="A14" s="34" t="s">
        <v>299</v>
      </c>
      <c r="B14" s="4" t="s">
        <v>296</v>
      </c>
      <c r="C14" s="34" t="s">
        <v>307</v>
      </c>
      <c r="D14" s="29" t="s">
        <v>305</v>
      </c>
      <c r="E14" s="29" t="s">
        <v>26</v>
      </c>
      <c r="F14" s="31" t="s">
        <v>306</v>
      </c>
      <c r="G14" s="36">
        <f>SUMIFS(PARAMETROS!$E$2:$E$198,PARAMETROS!$A$2:$A$198,$B14,PARAMETROS!$D$2:$D$198,"Num_niveleta")</f>
        <v>2</v>
      </c>
      <c r="H14" s="29" t="s">
        <v>26</v>
      </c>
      <c r="I14" s="29" t="s">
        <v>303</v>
      </c>
    </row>
    <row r="15" spans="1:9" x14ac:dyDescent="0.35">
      <c r="A15" s="4" t="s">
        <v>325</v>
      </c>
      <c r="B15" s="4" t="s">
        <v>326</v>
      </c>
      <c r="C15" s="4" t="s">
        <v>340</v>
      </c>
      <c r="D15" s="29" t="s">
        <v>342</v>
      </c>
      <c r="E15" s="29" t="s">
        <v>348</v>
      </c>
      <c r="F15" s="31" t="s">
        <v>354</v>
      </c>
      <c r="G15">
        <f>SUMIFS(VARIABLES_CALCULADAS!$F$2:$F$198,VARIABLES_CALCULADAS!$B$2:$B$198,B15,VARIABLES_CALCULADAS!$C$2:$C$198,"Area_excav")*1</f>
        <v>0.29249999999999998</v>
      </c>
      <c r="H15" s="29" t="s">
        <v>348</v>
      </c>
      <c r="I15" s="29" t="s">
        <v>386</v>
      </c>
    </row>
    <row r="16" spans="1:9" x14ac:dyDescent="0.35">
      <c r="A16" s="4" t="s">
        <v>325</v>
      </c>
      <c r="B16" s="4" t="s">
        <v>326</v>
      </c>
      <c r="C16" s="4" t="s">
        <v>341</v>
      </c>
      <c r="D16" s="29" t="s">
        <v>343</v>
      </c>
      <c r="E16" s="29" t="s">
        <v>348</v>
      </c>
      <c r="F16" s="31" t="s">
        <v>362</v>
      </c>
      <c r="G16">
        <f>SUMIFS(VARIABLES_CALCULADAS!$F$2:$F$198,VARIABLES_CALCULADAS!$B$2:$B$198,B16,VARIABLES_CALCULADAS!$C$2:$C$198,"Area_sello")*1*(1+SUMIFS(PARAMETROS!$E$2:$E$198,PARAMETROS!$A$2:$A$198,$B16,PARAMETROS!$D$2:$D$198,"f_desp_concreto"))</f>
        <v>2.7E-2</v>
      </c>
      <c r="H16" s="29" t="s">
        <v>348</v>
      </c>
      <c r="I16" s="29" t="s">
        <v>373</v>
      </c>
    </row>
    <row r="17" spans="1:9" ht="29" x14ac:dyDescent="0.35">
      <c r="A17" s="25" t="s">
        <v>325</v>
      </c>
      <c r="B17" s="4" t="s">
        <v>326</v>
      </c>
      <c r="C17" s="4" t="s">
        <v>344</v>
      </c>
      <c r="D17" s="29" t="s">
        <v>345</v>
      </c>
      <c r="E17" s="29" t="s">
        <v>324</v>
      </c>
      <c r="F17" s="31" t="s">
        <v>372</v>
      </c>
      <c r="G17" s="36">
        <f>(SUMIFS(PARAMETROS!$E$2:$E$198,PARAMETROS!$A$2:$A$198,$B17,PARAMETROS!$D$2:$D$198,"B_cimentación")+SUMIFS(PARAMETROS!$E$2:$E$198,PARAMETROS!$A$2:$A$198,$B17,PARAMETROS!$D$2:$D$198,"H_cimentación")-4*SUMIFS(PARAMETROS!$E$2:$E$198,PARAMETROS!$A$2:$A$198,$B17,PARAMETROS!$D$2:$D$198,"E_recubrimiento"))*(1/SUMIFS(PARAMETROS!$E$2:$E$198,PARAMETROS!$A$2:$A$198,$B17,PARAMETROS!$D$2:$D$198,"S_ganchos"))+(1*SUMIFS(PARAMETROS!$E$2:$E$198,PARAMETROS!$A$2:$A$198,$B17,PARAMETROS!$D$2:$D$198,"Q_var_long"))</f>
        <v>4.95</v>
      </c>
      <c r="H17" s="29" t="s">
        <v>324</v>
      </c>
      <c r="I17" s="29" t="s">
        <v>374</v>
      </c>
    </row>
    <row r="18" spans="1:9" x14ac:dyDescent="0.35">
      <c r="A18" s="25" t="s">
        <v>325</v>
      </c>
      <c r="B18" s="4" t="s">
        <v>326</v>
      </c>
      <c r="C18" s="4" t="s">
        <v>346</v>
      </c>
      <c r="D18" s="29" t="s">
        <v>347</v>
      </c>
      <c r="E18" s="29" t="s">
        <v>348</v>
      </c>
      <c r="F18" s="31" t="s">
        <v>378</v>
      </c>
      <c r="G18">
        <f>SUMIFS(VARIABLES_CALCULADAS!$F$2:$F$198,VARIABLES_CALCULADAS!$B$2:$B$198,B18,VARIABLES_CALCULADAS!$C$2:$C$198,"Area_placa")*1*(1+SUMIFS(PARAMETROS!$E$2:$E$198,PARAMETROS!$A$2:$A$198,$B18,PARAMETROS!$D$2:$D$198,"f_desp_concreto"))</f>
        <v>8.3999999999999991E-2</v>
      </c>
      <c r="H18" s="29" t="s">
        <v>348</v>
      </c>
      <c r="I18" s="29" t="s">
        <v>379</v>
      </c>
    </row>
    <row r="19" spans="1:9" hidden="1" x14ac:dyDescent="0.35">
      <c r="A19" s="4" t="s">
        <v>420</v>
      </c>
      <c r="B19" s="4" t="s">
        <v>421</v>
      </c>
      <c r="C19" s="4" t="s">
        <v>434</v>
      </c>
      <c r="D19" s="29" t="s">
        <v>435</v>
      </c>
      <c r="E19" s="29" t="s">
        <v>191</v>
      </c>
      <c r="F19" s="31" t="s">
        <v>436</v>
      </c>
      <c r="G19">
        <f>SUMIFS(PARAMETROS!$E$2:$E$127,PARAMETROS!$D$2:$D$127,"H_bloques")*(0.4*0.2*2.5)</f>
        <v>0.40000000000000008</v>
      </c>
      <c r="H19" s="29" t="s">
        <v>191</v>
      </c>
      <c r="I19" s="29" t="s">
        <v>443</v>
      </c>
    </row>
    <row r="20" spans="1:9" ht="29" hidden="1" x14ac:dyDescent="0.35">
      <c r="A20" s="4" t="s">
        <v>420</v>
      </c>
      <c r="B20" s="4" t="s">
        <v>421</v>
      </c>
      <c r="C20" s="4" t="s">
        <v>439</v>
      </c>
      <c r="D20" s="29" t="s">
        <v>437</v>
      </c>
      <c r="E20" s="29" t="s">
        <v>324</v>
      </c>
      <c r="F20" s="31" t="s">
        <v>441</v>
      </c>
      <c r="G20" s="44">
        <f>(1/SUMIFS(PARAMETROS!$E$2:$E$127,PARAMETROS!$D$2:$D$127,"S_acero_sobrecimiento_ver"))*SUMIFS(PARAMETROS!$E$2:$E$127,PARAMETROS!$D$2:$D$127,"H_bloques")*0.2+0.4+SUMIFS(PARAMETROS!$E$2:$E$127,PARAMETROS!$D$2:$D$127,"H_bloques")*0.2/SUMIFS(PARAMETROS!$E$2:$E$127,PARAMETROS!$D$2:$D$127,"S_acero_sobrecimiento_hor")*1</f>
        <v>2.0666666666666669</v>
      </c>
      <c r="H20" s="29" t="s">
        <v>324</v>
      </c>
      <c r="I20" s="29" t="s">
        <v>445</v>
      </c>
    </row>
    <row r="21" spans="1:9" ht="29" hidden="1" x14ac:dyDescent="0.35">
      <c r="A21" s="4" t="s">
        <v>420</v>
      </c>
      <c r="B21" s="4" t="s">
        <v>421</v>
      </c>
      <c r="C21" s="4" t="s">
        <v>440</v>
      </c>
      <c r="D21" s="29" t="s">
        <v>438</v>
      </c>
      <c r="E21" s="29" t="s">
        <v>348</v>
      </c>
      <c r="F21" s="31" t="s">
        <v>442</v>
      </c>
      <c r="G21" s="44">
        <f>SUMIFS(PARAMETROS!$E$2:$E$127,PARAMETROS!$D$2:$D$127,"A_bloque")*0.2*0.85*5 * SUMIFS(PARAMETROS!$E$2:$E$127,PARAMETROS!$D$2:$D$127,"H_bloques")*0.2*1.15</f>
        <v>4.6919999999999996E-2</v>
      </c>
      <c r="H21" s="29" t="s">
        <v>348</v>
      </c>
      <c r="I21" s="29" t="s">
        <v>446</v>
      </c>
    </row>
    <row r="22" spans="1:9" ht="29" hidden="1" x14ac:dyDescent="0.35">
      <c r="A22" s="48" t="s">
        <v>467</v>
      </c>
      <c r="B22" s="46" t="s">
        <v>463</v>
      </c>
      <c r="C22" s="46" t="s">
        <v>481</v>
      </c>
      <c r="D22" s="29" t="s">
        <v>482</v>
      </c>
      <c r="E22" s="29" t="s">
        <v>484</v>
      </c>
      <c r="F22" s="31" t="s">
        <v>483</v>
      </c>
      <c r="G22" s="36">
        <f>12.5*(1+SUMIFS(PARAMETROS!$E$2:$E$127,PARAMETROS!$D$2:$D$127,"Desp_bloque"))</f>
        <v>13.125</v>
      </c>
      <c r="H22" s="29" t="s">
        <v>484</v>
      </c>
      <c r="I22" s="29" t="s">
        <v>485</v>
      </c>
    </row>
    <row r="23" spans="1:9" ht="29" hidden="1" x14ac:dyDescent="0.35">
      <c r="A23" s="48" t="s">
        <v>467</v>
      </c>
      <c r="B23" s="46" t="s">
        <v>463</v>
      </c>
      <c r="C23" s="46" t="s">
        <v>487</v>
      </c>
      <c r="D23" s="29" t="s">
        <v>486</v>
      </c>
      <c r="E23" s="29" t="s">
        <v>324</v>
      </c>
      <c r="F23" s="31" t="s">
        <v>488</v>
      </c>
      <c r="G23" s="36">
        <f>(1/SUMIFS(PARAMETROS!$E$2:$E$127,PARAMETROS!$D$2:$D$127,"S_acero_pared_vert")) + (1/SUMIFS(PARAMETROS!$E$2:$E$127,PARAMETROS!$D$2:$D$127,"S_acero_pared_hor"))</f>
        <v>4.166666666666667</v>
      </c>
      <c r="H23" s="29" t="s">
        <v>324</v>
      </c>
      <c r="I23" s="29" t="s">
        <v>489</v>
      </c>
    </row>
    <row r="24" spans="1:9" hidden="1" x14ac:dyDescent="0.35">
      <c r="A24" s="48" t="s">
        <v>467</v>
      </c>
      <c r="B24" s="46" t="s">
        <v>463</v>
      </c>
      <c r="C24" s="46" t="s">
        <v>490</v>
      </c>
      <c r="D24" s="29" t="s">
        <v>491</v>
      </c>
      <c r="E24" s="29" t="s">
        <v>348</v>
      </c>
      <c r="F24" s="31" t="s">
        <v>492</v>
      </c>
      <c r="G24" s="44">
        <f>(SUMIFS(PARAMETROS!$E$2:$E$127,PARAMETROS!$D$2:$D$127,"A_bloque_pared")*0.2*0.8)*(1/SUMIFS(PARAMETROS!$E$2:$E$127,PARAMETROS!$D$2:$D$127,"S_acero_pared_vert"))</f>
        <v>3.2000000000000008E-2</v>
      </c>
      <c r="H24" s="29" t="s">
        <v>348</v>
      </c>
      <c r="I24" s="29" t="s">
        <v>493</v>
      </c>
    </row>
  </sheetData>
  <autoFilter ref="A1:I24" xr:uid="{00000000-0001-0000-0400-000000000000}">
    <filterColumn colId="1">
      <filters>
        <filter val="EDT-FUN-001"/>
      </filters>
    </filterColumn>
  </autoFilter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K74"/>
  <sheetViews>
    <sheetView showGridLines="0" workbookViewId="0">
      <pane ySplit="1" topLeftCell="A44" activePane="bottomLeft" state="frozen"/>
      <selection pane="bottomLeft" activeCell="F44" sqref="F44:F60"/>
    </sheetView>
  </sheetViews>
  <sheetFormatPr baseColWidth="10" defaultColWidth="8.7265625" defaultRowHeight="14.5" x14ac:dyDescent="0.35"/>
  <cols>
    <col min="1" max="2" width="14" customWidth="1"/>
    <col min="3" max="3" width="18" customWidth="1"/>
    <col min="4" max="4" width="16" customWidth="1"/>
    <col min="5" max="5" width="14" customWidth="1"/>
    <col min="6" max="6" width="42.1796875" customWidth="1"/>
    <col min="7" max="7" width="16" customWidth="1"/>
    <col min="8" max="8" width="17.36328125" customWidth="1"/>
    <col min="9" max="9" width="17" customWidth="1"/>
    <col min="10" max="10" width="14" customWidth="1"/>
    <col min="11" max="11" width="44.36328125" customWidth="1"/>
  </cols>
  <sheetData>
    <row r="1" spans="1:11" ht="29" x14ac:dyDescent="0.35">
      <c r="A1" s="3" t="s">
        <v>21</v>
      </c>
      <c r="B1" s="3" t="s">
        <v>12</v>
      </c>
      <c r="C1" s="3" t="s">
        <v>323</v>
      </c>
      <c r="D1" s="3" t="s">
        <v>97</v>
      </c>
      <c r="E1" s="3" t="s">
        <v>98</v>
      </c>
      <c r="F1" s="3" t="s">
        <v>99</v>
      </c>
      <c r="G1" s="3" t="s">
        <v>383</v>
      </c>
      <c r="H1" s="3" t="s">
        <v>100</v>
      </c>
      <c r="I1" s="3" t="s">
        <v>101</v>
      </c>
      <c r="J1" s="3" t="s">
        <v>102</v>
      </c>
      <c r="K1" s="3" t="s">
        <v>36</v>
      </c>
    </row>
    <row r="2" spans="1:11" hidden="1" x14ac:dyDescent="0.35">
      <c r="A2" s="6" t="s">
        <v>28</v>
      </c>
      <c r="B2" s="6" t="s">
        <v>22</v>
      </c>
      <c r="C2" s="6" t="s">
        <v>68</v>
      </c>
      <c r="D2" s="6" t="s">
        <v>103</v>
      </c>
      <c r="E2" s="6">
        <v>1</v>
      </c>
      <c r="F2" s="6" t="s">
        <v>104</v>
      </c>
      <c r="G2" s="10">
        <f>SUMIFS(PAQUETE_PK!$G$2:$G$198,PAQUETE_PK!$C$2:$C$198,$C2)</f>
        <v>1</v>
      </c>
      <c r="H2" s="11">
        <v>1</v>
      </c>
      <c r="I2" s="6" t="s">
        <v>105</v>
      </c>
      <c r="J2" s="10">
        <f t="shared" ref="J2:J28" si="0">G2*H2</f>
        <v>1</v>
      </c>
      <c r="K2" s="6" t="s">
        <v>106</v>
      </c>
    </row>
    <row r="3" spans="1:11" hidden="1" x14ac:dyDescent="0.35">
      <c r="A3" s="6" t="s">
        <v>28</v>
      </c>
      <c r="B3" s="6" t="s">
        <v>22</v>
      </c>
      <c r="C3" s="6" t="s">
        <v>68</v>
      </c>
      <c r="D3" s="6" t="s">
        <v>103</v>
      </c>
      <c r="E3" s="6">
        <v>2</v>
      </c>
      <c r="F3" s="6" t="s">
        <v>107</v>
      </c>
      <c r="G3" s="10">
        <f>SUMIFS(PAQUETE_PK!$G$2:$G$198,PAQUETE_PK!$C$2:$C$198,$C3)</f>
        <v>1</v>
      </c>
      <c r="H3" s="11">
        <v>1</v>
      </c>
      <c r="I3" s="6" t="s">
        <v>105</v>
      </c>
      <c r="J3" s="10">
        <f t="shared" si="0"/>
        <v>1</v>
      </c>
      <c r="K3" s="6" t="s">
        <v>106</v>
      </c>
    </row>
    <row r="4" spans="1:11" hidden="1" x14ac:dyDescent="0.35">
      <c r="A4" s="6" t="s">
        <v>28</v>
      </c>
      <c r="B4" s="6" t="s">
        <v>22</v>
      </c>
      <c r="C4" s="6" t="s">
        <v>70</v>
      </c>
      <c r="D4" s="6" t="s">
        <v>103</v>
      </c>
      <c r="E4" s="6">
        <v>3</v>
      </c>
      <c r="F4" s="6" t="s">
        <v>108</v>
      </c>
      <c r="G4" s="10">
        <f>SUMIFS(PAQUETE_PK!$G$2:$G$198,PAQUETE_PK!$C$2:$C$198,$C4)</f>
        <v>20</v>
      </c>
      <c r="H4" s="11">
        <v>0.16666666666666671</v>
      </c>
      <c r="I4" s="6" t="s">
        <v>109</v>
      </c>
      <c r="J4" s="10">
        <f t="shared" si="0"/>
        <v>3.3333333333333344</v>
      </c>
      <c r="K4" s="6" t="s">
        <v>110</v>
      </c>
    </row>
    <row r="5" spans="1:11" hidden="1" x14ac:dyDescent="0.35">
      <c r="A5" s="6" t="s">
        <v>28</v>
      </c>
      <c r="B5" s="6" t="s">
        <v>22</v>
      </c>
      <c r="C5" s="6" t="s">
        <v>72</v>
      </c>
      <c r="D5" s="6" t="s">
        <v>103</v>
      </c>
      <c r="E5" s="6">
        <v>4</v>
      </c>
      <c r="F5" s="6" t="s">
        <v>111</v>
      </c>
      <c r="G5" s="10">
        <f>SUMIFS(PAQUETE_PK!$G$2:$G$198,PAQUETE_PK!$C$2:$C$198,$C5)</f>
        <v>3</v>
      </c>
      <c r="H5" s="11">
        <v>1</v>
      </c>
      <c r="I5" s="6" t="s">
        <v>105</v>
      </c>
      <c r="J5" s="10">
        <f t="shared" si="0"/>
        <v>3</v>
      </c>
      <c r="K5" s="6" t="s">
        <v>112</v>
      </c>
    </row>
    <row r="6" spans="1:11" hidden="1" x14ac:dyDescent="0.35">
      <c r="A6" s="6" t="s">
        <v>28</v>
      </c>
      <c r="B6" s="6" t="s">
        <v>22</v>
      </c>
      <c r="C6" s="6" t="s">
        <v>74</v>
      </c>
      <c r="D6" s="6" t="s">
        <v>103</v>
      </c>
      <c r="E6" s="6">
        <v>5</v>
      </c>
      <c r="F6" s="6" t="s">
        <v>113</v>
      </c>
      <c r="G6" s="10">
        <f>SUMIFS(PAQUETE_PK!$G$2:$G$198,PAQUETE_PK!$C$2:$C$198,$C6)</f>
        <v>9</v>
      </c>
      <c r="H6" s="11">
        <v>0.7</v>
      </c>
      <c r="I6" s="6" t="s">
        <v>105</v>
      </c>
      <c r="J6" s="10">
        <f t="shared" si="0"/>
        <v>6.3</v>
      </c>
      <c r="K6" s="6" t="s">
        <v>114</v>
      </c>
    </row>
    <row r="7" spans="1:11" hidden="1" x14ac:dyDescent="0.35">
      <c r="A7" s="6" t="s">
        <v>28</v>
      </c>
      <c r="B7" s="6" t="s">
        <v>22</v>
      </c>
      <c r="C7" s="6" t="s">
        <v>74</v>
      </c>
      <c r="D7" s="6" t="s">
        <v>103</v>
      </c>
      <c r="E7" s="6">
        <v>6</v>
      </c>
      <c r="F7" s="6" t="s">
        <v>115</v>
      </c>
      <c r="G7" s="10">
        <f>SUMIFS(PAQUETE_PK!$G$2:$G$198,PAQUETE_PK!$C$2:$C$198,$C7)</f>
        <v>9</v>
      </c>
      <c r="H7" s="11">
        <v>0.3</v>
      </c>
      <c r="I7" s="6" t="s">
        <v>105</v>
      </c>
      <c r="J7" s="10">
        <f t="shared" si="0"/>
        <v>2.6999999999999997</v>
      </c>
      <c r="K7" s="6" t="s">
        <v>114</v>
      </c>
    </row>
    <row r="8" spans="1:11" hidden="1" x14ac:dyDescent="0.35">
      <c r="A8" s="6" t="s">
        <v>28</v>
      </c>
      <c r="B8" s="6" t="s">
        <v>22</v>
      </c>
      <c r="C8" s="6" t="s">
        <v>77</v>
      </c>
      <c r="D8" s="6" t="s">
        <v>103</v>
      </c>
      <c r="E8" s="6">
        <v>7</v>
      </c>
      <c r="F8" s="6" t="s">
        <v>116</v>
      </c>
      <c r="G8" s="10">
        <f>SUMIFS(PAQUETE_PK!$G$2:$G$198,PAQUETE_PK!$C$2:$C$198,$C8)</f>
        <v>1</v>
      </c>
      <c r="H8" s="11">
        <v>1</v>
      </c>
      <c r="I8" s="6" t="s">
        <v>105</v>
      </c>
      <c r="J8" s="10">
        <f t="shared" si="0"/>
        <v>1</v>
      </c>
      <c r="K8" s="6" t="s">
        <v>117</v>
      </c>
    </row>
    <row r="9" spans="1:11" hidden="1" x14ac:dyDescent="0.35">
      <c r="A9" s="6" t="s">
        <v>28</v>
      </c>
      <c r="B9" s="6" t="s">
        <v>22</v>
      </c>
      <c r="C9" s="6" t="s">
        <v>68</v>
      </c>
      <c r="D9" s="6" t="s">
        <v>103</v>
      </c>
      <c r="E9" s="6">
        <v>8</v>
      </c>
      <c r="F9" s="6" t="s">
        <v>118</v>
      </c>
      <c r="G9" s="10">
        <f>SUMIFS(PAQUETE_PK!$G$2:$G$198,PAQUETE_PK!$C$2:$C$198,$C9)</f>
        <v>1</v>
      </c>
      <c r="H9" s="11">
        <v>4.5</v>
      </c>
      <c r="I9" s="6" t="s">
        <v>119</v>
      </c>
      <c r="J9" s="10">
        <f t="shared" si="0"/>
        <v>4.5</v>
      </c>
      <c r="K9" s="6" t="s">
        <v>120</v>
      </c>
    </row>
    <row r="10" spans="1:11" hidden="1" x14ac:dyDescent="0.35">
      <c r="A10" s="6" t="s">
        <v>28</v>
      </c>
      <c r="B10" s="6" t="s">
        <v>22</v>
      </c>
      <c r="C10" s="6" t="s">
        <v>68</v>
      </c>
      <c r="D10" s="6" t="s">
        <v>103</v>
      </c>
      <c r="E10" s="6">
        <v>10</v>
      </c>
      <c r="F10" s="6" t="s">
        <v>121</v>
      </c>
      <c r="G10" s="10">
        <f>SUMIFS(PAQUETE_PK!$G$2:$G$198,PAQUETE_PK!$C$2:$C$198,$C10)</f>
        <v>1</v>
      </c>
      <c r="H10" s="11">
        <v>4.5</v>
      </c>
      <c r="I10" s="6" t="s">
        <v>119</v>
      </c>
      <c r="J10" s="10">
        <f t="shared" si="0"/>
        <v>4.5</v>
      </c>
      <c r="K10" s="6" t="s">
        <v>120</v>
      </c>
    </row>
    <row r="11" spans="1:11" hidden="1" x14ac:dyDescent="0.35">
      <c r="A11" s="6" t="s">
        <v>94</v>
      </c>
      <c r="B11" s="6" t="s">
        <v>29</v>
      </c>
      <c r="C11" s="6" t="s">
        <v>80</v>
      </c>
      <c r="D11" s="6" t="s">
        <v>122</v>
      </c>
      <c r="E11" s="6">
        <v>11</v>
      </c>
      <c r="F11" s="6" t="s">
        <v>123</v>
      </c>
      <c r="G11" s="10">
        <f>SUMIFS(PAQUETE_PK!$G$2:$G$198,PAQUETE_PK!$C$2:$C$198,$C11)</f>
        <v>1</v>
      </c>
      <c r="H11" s="11">
        <v>1</v>
      </c>
      <c r="I11" s="6" t="s">
        <v>105</v>
      </c>
      <c r="J11" s="10">
        <f t="shared" si="0"/>
        <v>1</v>
      </c>
      <c r="K11" s="6" t="s">
        <v>124</v>
      </c>
    </row>
    <row r="12" spans="1:11" hidden="1" x14ac:dyDescent="0.35">
      <c r="A12" s="6" t="s">
        <v>94</v>
      </c>
      <c r="B12" s="6" t="s">
        <v>29</v>
      </c>
      <c r="C12" s="6" t="s">
        <v>80</v>
      </c>
      <c r="D12" s="6" t="s">
        <v>122</v>
      </c>
      <c r="E12" s="6">
        <v>12</v>
      </c>
      <c r="F12" s="6" t="s">
        <v>125</v>
      </c>
      <c r="G12" s="10">
        <f>SUMIFS(PAQUETE_PK!$G$2:$G$198,PAQUETE_PK!$C$2:$C$198,$C12)</f>
        <v>1</v>
      </c>
      <c r="H12" s="11">
        <v>1</v>
      </c>
      <c r="I12" s="6" t="s">
        <v>105</v>
      </c>
      <c r="J12" s="10">
        <f t="shared" si="0"/>
        <v>1</v>
      </c>
      <c r="K12" s="6" t="s">
        <v>124</v>
      </c>
    </row>
    <row r="13" spans="1:11" hidden="1" x14ac:dyDescent="0.35">
      <c r="A13" s="6" t="s">
        <v>94</v>
      </c>
      <c r="B13" s="6" t="s">
        <v>29</v>
      </c>
      <c r="C13" s="6" t="s">
        <v>80</v>
      </c>
      <c r="D13" s="6" t="s">
        <v>122</v>
      </c>
      <c r="E13" s="6">
        <v>13</v>
      </c>
      <c r="F13" s="6" t="s">
        <v>126</v>
      </c>
      <c r="G13" s="10">
        <f>SUMIFS(PAQUETE_PK!$G$2:$G$198,PAQUETE_PK!$C$2:$C$198,$C13)</f>
        <v>1</v>
      </c>
      <c r="H13" s="11">
        <v>1</v>
      </c>
      <c r="I13" s="6" t="s">
        <v>105</v>
      </c>
      <c r="J13" s="10">
        <f t="shared" si="0"/>
        <v>1</v>
      </c>
      <c r="K13" s="6" t="s">
        <v>124</v>
      </c>
    </row>
    <row r="14" spans="1:11" hidden="1" x14ac:dyDescent="0.35">
      <c r="A14" s="6" t="s">
        <v>94</v>
      </c>
      <c r="B14" s="6" t="s">
        <v>29</v>
      </c>
      <c r="C14" s="6" t="s">
        <v>80</v>
      </c>
      <c r="D14" s="6" t="s">
        <v>122</v>
      </c>
      <c r="E14" s="6">
        <v>14</v>
      </c>
      <c r="F14" s="6" t="s">
        <v>127</v>
      </c>
      <c r="G14" s="10">
        <f>SUMIFS(PAQUETE_PK!$G$2:$G$198,PAQUETE_PK!$C$2:$C$198,$C14)</f>
        <v>1</v>
      </c>
      <c r="H14" s="11">
        <v>1</v>
      </c>
      <c r="I14" s="6" t="s">
        <v>105</v>
      </c>
      <c r="J14" s="10">
        <f t="shared" si="0"/>
        <v>1</v>
      </c>
      <c r="K14" s="6" t="s">
        <v>124</v>
      </c>
    </row>
    <row r="15" spans="1:11" hidden="1" x14ac:dyDescent="0.35">
      <c r="A15" s="6" t="s">
        <v>94</v>
      </c>
      <c r="B15" s="6" t="s">
        <v>29</v>
      </c>
      <c r="C15" s="6" t="s">
        <v>80</v>
      </c>
      <c r="D15" s="6" t="s">
        <v>122</v>
      </c>
      <c r="E15" s="6">
        <v>15</v>
      </c>
      <c r="F15" s="6" t="s">
        <v>128</v>
      </c>
      <c r="G15" s="10">
        <f>SUMIFS(PAQUETE_PK!$G$2:$G$198,PAQUETE_PK!$C$2:$C$198,$C15)</f>
        <v>1</v>
      </c>
      <c r="H15" s="11">
        <v>1</v>
      </c>
      <c r="I15" s="6" t="s">
        <v>105</v>
      </c>
      <c r="J15" s="10">
        <f t="shared" si="0"/>
        <v>1</v>
      </c>
      <c r="K15" s="6" t="s">
        <v>124</v>
      </c>
    </row>
    <row r="16" spans="1:11" hidden="1" x14ac:dyDescent="0.35">
      <c r="A16" s="6" t="s">
        <v>94</v>
      </c>
      <c r="B16" s="6" t="s">
        <v>29</v>
      </c>
      <c r="C16" s="6" t="s">
        <v>80</v>
      </c>
      <c r="D16" s="6" t="s">
        <v>122</v>
      </c>
      <c r="E16" s="6">
        <v>16</v>
      </c>
      <c r="F16" s="6" t="s">
        <v>129</v>
      </c>
      <c r="G16" s="10">
        <f>SUMIFS(PAQUETE_PK!$G$2:$G$198,PAQUETE_PK!$C$2:$C$198,$C16)</f>
        <v>1</v>
      </c>
      <c r="H16" s="11">
        <v>1</v>
      </c>
      <c r="I16" s="6" t="s">
        <v>105</v>
      </c>
      <c r="J16" s="10">
        <f t="shared" si="0"/>
        <v>1</v>
      </c>
      <c r="K16" s="6" t="s">
        <v>124</v>
      </c>
    </row>
    <row r="17" spans="1:11" hidden="1" x14ac:dyDescent="0.35">
      <c r="A17" s="6" t="s">
        <v>94</v>
      </c>
      <c r="B17" s="6" t="s">
        <v>29</v>
      </c>
      <c r="C17" s="6" t="s">
        <v>80</v>
      </c>
      <c r="D17" s="6" t="s">
        <v>122</v>
      </c>
      <c r="E17" s="6">
        <v>17</v>
      </c>
      <c r="F17" s="6" t="s">
        <v>130</v>
      </c>
      <c r="G17" s="10">
        <f>SUMIFS(PAQUETE_PK!$G$2:$G$198,PAQUETE_PK!$C$2:$C$198,$C17)</f>
        <v>1</v>
      </c>
      <c r="H17" s="11">
        <v>1</v>
      </c>
      <c r="I17" s="6" t="s">
        <v>105</v>
      </c>
      <c r="J17" s="10">
        <f t="shared" si="0"/>
        <v>1</v>
      </c>
      <c r="K17" s="6" t="s">
        <v>124</v>
      </c>
    </row>
    <row r="18" spans="1:11" hidden="1" x14ac:dyDescent="0.35">
      <c r="A18" s="6" t="s">
        <v>94</v>
      </c>
      <c r="B18" s="6" t="s">
        <v>29</v>
      </c>
      <c r="C18" s="6" t="s">
        <v>82</v>
      </c>
      <c r="D18" s="6" t="s">
        <v>131</v>
      </c>
      <c r="E18" s="6">
        <v>18</v>
      </c>
      <c r="F18" s="6" t="s">
        <v>132</v>
      </c>
      <c r="G18" s="10">
        <f>SUMIFS(PAQUETE_PK!$G$2:$G$198,PAQUETE_PK!$C$2:$C$198,$C18)</f>
        <v>10</v>
      </c>
      <c r="H18" s="11">
        <v>2</v>
      </c>
      <c r="I18" s="6" t="s">
        <v>133</v>
      </c>
      <c r="J18" s="10">
        <f t="shared" si="0"/>
        <v>20</v>
      </c>
      <c r="K18" s="6" t="s">
        <v>84</v>
      </c>
    </row>
    <row r="19" spans="1:11" hidden="1" x14ac:dyDescent="0.35">
      <c r="A19" s="6" t="s">
        <v>94</v>
      </c>
      <c r="B19" s="6" t="s">
        <v>29</v>
      </c>
      <c r="C19" s="6" t="s">
        <v>82</v>
      </c>
      <c r="D19" s="6" t="s">
        <v>131</v>
      </c>
      <c r="E19" s="6">
        <v>19</v>
      </c>
      <c r="F19" s="6" t="s">
        <v>134</v>
      </c>
      <c r="G19" s="10">
        <f>SUMIFS(PAQUETE_PK!$G$2:$G$198,PAQUETE_PK!$C$2:$C$198,$C19)</f>
        <v>10</v>
      </c>
      <c r="H19" s="11">
        <v>1</v>
      </c>
      <c r="I19" s="6" t="s">
        <v>133</v>
      </c>
      <c r="J19" s="10">
        <f t="shared" si="0"/>
        <v>10</v>
      </c>
      <c r="K19" s="6" t="s">
        <v>85</v>
      </c>
    </row>
    <row r="20" spans="1:11" hidden="1" x14ac:dyDescent="0.35">
      <c r="A20" s="6" t="s">
        <v>94</v>
      </c>
      <c r="B20" s="6" t="s">
        <v>29</v>
      </c>
      <c r="C20" s="6" t="s">
        <v>82</v>
      </c>
      <c r="D20" s="6" t="s">
        <v>131</v>
      </c>
      <c r="E20" s="6">
        <v>20</v>
      </c>
      <c r="F20" s="6" t="s">
        <v>135</v>
      </c>
      <c r="G20" s="10">
        <f>SUMIFS(PAQUETE_PK!$G$2:$G$198,PAQUETE_PK!$C$2:$C$198,$C20)</f>
        <v>10</v>
      </c>
      <c r="H20" s="11">
        <v>1</v>
      </c>
      <c r="I20" s="6" t="s">
        <v>133</v>
      </c>
      <c r="J20" s="10">
        <f t="shared" si="0"/>
        <v>10</v>
      </c>
      <c r="K20" s="6" t="s">
        <v>136</v>
      </c>
    </row>
    <row r="21" spans="1:11" hidden="1" x14ac:dyDescent="0.35">
      <c r="A21" s="6" t="s">
        <v>94</v>
      </c>
      <c r="B21" s="6" t="s">
        <v>29</v>
      </c>
      <c r="C21" s="6" t="s">
        <v>80</v>
      </c>
      <c r="D21" s="6" t="s">
        <v>122</v>
      </c>
      <c r="E21" s="6">
        <v>8</v>
      </c>
      <c r="F21" s="6" t="s">
        <v>118</v>
      </c>
      <c r="G21" s="10">
        <f>SUMIFS(PAQUETE_PK!$G$2:$G$198,PAQUETE_PK!$C$2:$C$198,$C21)</f>
        <v>1</v>
      </c>
      <c r="H21" s="22">
        <v>5</v>
      </c>
      <c r="I21" s="6" t="s">
        <v>119</v>
      </c>
      <c r="J21" s="23">
        <f t="shared" si="0"/>
        <v>5</v>
      </c>
      <c r="K21" s="6" t="s">
        <v>120</v>
      </c>
    </row>
    <row r="22" spans="1:11" hidden="1" x14ac:dyDescent="0.35">
      <c r="A22" s="6" t="s">
        <v>94</v>
      </c>
      <c r="B22" s="6" t="s">
        <v>29</v>
      </c>
      <c r="C22" s="6" t="s">
        <v>80</v>
      </c>
      <c r="D22" s="6" t="s">
        <v>122</v>
      </c>
      <c r="E22" s="6">
        <v>10</v>
      </c>
      <c r="F22" s="6" t="s">
        <v>121</v>
      </c>
      <c r="G22" s="10">
        <f>SUMIFS(PAQUETE_PK!$G$2:$G$198,PAQUETE_PK!$C$2:$C$198,$C22)</f>
        <v>1</v>
      </c>
      <c r="H22" s="22">
        <v>5</v>
      </c>
      <c r="I22" s="6" t="s">
        <v>119</v>
      </c>
      <c r="J22" s="23">
        <f t="shared" si="0"/>
        <v>5</v>
      </c>
      <c r="K22" s="6" t="s">
        <v>120</v>
      </c>
    </row>
    <row r="23" spans="1:11" hidden="1" x14ac:dyDescent="0.35">
      <c r="A23" s="6" t="s">
        <v>192</v>
      </c>
      <c r="B23" s="6" t="s">
        <v>189</v>
      </c>
      <c r="C23" s="6" t="s">
        <v>203</v>
      </c>
      <c r="D23" s="6" t="s">
        <v>204</v>
      </c>
      <c r="E23" s="6">
        <v>21</v>
      </c>
      <c r="F23" s="6" t="s">
        <v>205</v>
      </c>
      <c r="G23" s="10">
        <f>SUMIFS(PAQUETE_PK!$G$2:$G$198,PAQUETE_PK!$C$2:$C$198,$C23)</f>
        <v>1.2</v>
      </c>
      <c r="H23" s="22">
        <f>8/200</f>
        <v>0.04</v>
      </c>
      <c r="I23" s="6" t="s">
        <v>208</v>
      </c>
      <c r="J23" s="23">
        <f t="shared" si="0"/>
        <v>4.8000000000000001E-2</v>
      </c>
      <c r="K23" s="6" t="s">
        <v>209</v>
      </c>
    </row>
    <row r="24" spans="1:11" hidden="1" x14ac:dyDescent="0.35">
      <c r="A24" s="6" t="s">
        <v>220</v>
      </c>
      <c r="B24" s="6" t="s">
        <v>218</v>
      </c>
      <c r="C24" s="6" t="s">
        <v>255</v>
      </c>
      <c r="D24" s="6" t="s">
        <v>263</v>
      </c>
      <c r="E24" s="6">
        <v>22</v>
      </c>
      <c r="F24" s="6" t="s">
        <v>269</v>
      </c>
      <c r="G24" s="10">
        <f>SUMIFS(PAQUETE_PK!$G$2:$G$198,PAQUETE_PK!$C$2:$C$198,$C24)</f>
        <v>14</v>
      </c>
      <c r="H24" s="22">
        <f>1/1.2</f>
        <v>0.83333333333333337</v>
      </c>
      <c r="I24" s="32" t="s">
        <v>265</v>
      </c>
      <c r="J24" s="23">
        <f t="shared" si="0"/>
        <v>11.666666666666668</v>
      </c>
      <c r="K24" s="32" t="s">
        <v>268</v>
      </c>
    </row>
    <row r="25" spans="1:11" hidden="1" x14ac:dyDescent="0.35">
      <c r="A25" s="4" t="s">
        <v>220</v>
      </c>
      <c r="B25" s="6" t="s">
        <v>218</v>
      </c>
      <c r="C25" s="25" t="s">
        <v>255</v>
      </c>
      <c r="D25" s="25" t="s">
        <v>263</v>
      </c>
      <c r="E25" s="6">
        <v>23</v>
      </c>
      <c r="F25" s="29" t="s">
        <v>266</v>
      </c>
      <c r="G25" s="10">
        <f>SUMIFS(PAQUETE_PK!$G$2:$G$198,PAQUETE_PK!$C$2:$C$198,$C25)</f>
        <v>14</v>
      </c>
      <c r="H25" s="22">
        <f>2/3.2</f>
        <v>0.625</v>
      </c>
      <c r="I25" s="32" t="s">
        <v>109</v>
      </c>
      <c r="J25" s="23">
        <f t="shared" si="0"/>
        <v>8.75</v>
      </c>
      <c r="K25" s="29" t="s">
        <v>267</v>
      </c>
    </row>
    <row r="26" spans="1:11" hidden="1" x14ac:dyDescent="0.35">
      <c r="A26" s="4" t="s">
        <v>220</v>
      </c>
      <c r="B26" s="6" t="s">
        <v>218</v>
      </c>
      <c r="C26" s="25" t="s">
        <v>260</v>
      </c>
      <c r="D26" s="25" t="s">
        <v>271</v>
      </c>
      <c r="E26" s="6">
        <v>23</v>
      </c>
      <c r="F26" s="29" t="s">
        <v>275</v>
      </c>
      <c r="G26" s="10">
        <f>SUMIFS(PAQUETE_PK!$G$2:$G$198,PAQUETE_PK!$C$2:$C$198,$C26)</f>
        <v>33.6</v>
      </c>
      <c r="H26" s="22">
        <v>0.2</v>
      </c>
      <c r="I26" s="29" t="s">
        <v>109</v>
      </c>
      <c r="J26" s="23">
        <f t="shared" si="0"/>
        <v>6.7200000000000006</v>
      </c>
      <c r="K26" s="29"/>
    </row>
    <row r="27" spans="1:11" hidden="1" x14ac:dyDescent="0.35">
      <c r="A27" s="4" t="s">
        <v>220</v>
      </c>
      <c r="B27" s="6" t="s">
        <v>218</v>
      </c>
      <c r="C27" s="25" t="s">
        <v>260</v>
      </c>
      <c r="D27" s="25" t="s">
        <v>271</v>
      </c>
      <c r="E27" s="6">
        <v>24</v>
      </c>
      <c r="F27" s="29" t="s">
        <v>276</v>
      </c>
      <c r="G27" s="10">
        <f>SUMIFS(PAQUETE_PK!$G$2:$G$198,PAQUETE_PK!$C$2:$C$198,$C27)</f>
        <v>33.6</v>
      </c>
      <c r="H27" s="22">
        <f>1/(2.44*0.81)</f>
        <v>0.50597045132564256</v>
      </c>
      <c r="I27" s="29" t="s">
        <v>277</v>
      </c>
      <c r="J27" s="23">
        <f t="shared" si="0"/>
        <v>17.000607164541591</v>
      </c>
      <c r="K27" s="29"/>
    </row>
    <row r="28" spans="1:11" hidden="1" x14ac:dyDescent="0.35">
      <c r="A28" s="4" t="s">
        <v>220</v>
      </c>
      <c r="B28" s="6" t="s">
        <v>218</v>
      </c>
      <c r="C28" s="25" t="s">
        <v>260</v>
      </c>
      <c r="D28" s="25" t="s">
        <v>271</v>
      </c>
      <c r="E28" s="6">
        <v>25</v>
      </c>
      <c r="F28" s="29" t="s">
        <v>457</v>
      </c>
      <c r="G28" s="10">
        <f>SUMIFS(PAQUETE_PK!$G$2:$G$198,PAQUETE_PK!$C$2:$C$198,$C28)</f>
        <v>33.6</v>
      </c>
      <c r="H28" s="22">
        <v>12</v>
      </c>
      <c r="I28" s="29" t="s">
        <v>197</v>
      </c>
      <c r="J28" s="23">
        <f t="shared" si="0"/>
        <v>403.20000000000005</v>
      </c>
      <c r="K28" s="29"/>
    </row>
    <row r="29" spans="1:11" hidden="1" x14ac:dyDescent="0.35">
      <c r="A29" s="4" t="s">
        <v>220</v>
      </c>
      <c r="B29" s="6" t="s">
        <v>218</v>
      </c>
      <c r="C29" s="25" t="s">
        <v>261</v>
      </c>
      <c r="D29" s="25" t="s">
        <v>278</v>
      </c>
      <c r="E29" s="6">
        <v>23</v>
      </c>
      <c r="F29" s="29" t="s">
        <v>279</v>
      </c>
      <c r="G29" s="10">
        <f>SUMIFS(PAQUETE_PK!$G$2:$G$198,PAQUETE_PK!$C$2:$C$198,$C29)</f>
        <v>15</v>
      </c>
      <c r="H29" s="22">
        <f>1/0.8/3.2</f>
        <v>0.390625</v>
      </c>
      <c r="I29" s="29" t="s">
        <v>109</v>
      </c>
      <c r="J29" s="23">
        <f t="shared" ref="J29:J31" si="1">G29*H29</f>
        <v>5.859375</v>
      </c>
      <c r="K29" s="29"/>
    </row>
    <row r="30" spans="1:11" hidden="1" x14ac:dyDescent="0.35">
      <c r="A30" s="4" t="s">
        <v>220</v>
      </c>
      <c r="B30" s="6" t="s">
        <v>218</v>
      </c>
      <c r="C30" s="25" t="s">
        <v>261</v>
      </c>
      <c r="D30" s="25" t="s">
        <v>278</v>
      </c>
      <c r="E30" s="6">
        <v>24</v>
      </c>
      <c r="F30" s="29" t="s">
        <v>276</v>
      </c>
      <c r="G30" s="10">
        <f>SUMIFS(PAQUETE_PK!$G$2:$G$198,PAQUETE_PK!$C$2:$C$198,$C30)</f>
        <v>15</v>
      </c>
      <c r="H30" s="22">
        <v>0.51</v>
      </c>
      <c r="I30" s="29" t="s">
        <v>277</v>
      </c>
      <c r="J30" s="23">
        <f t="shared" si="1"/>
        <v>7.65</v>
      </c>
      <c r="K30" s="29"/>
    </row>
    <row r="31" spans="1:11" hidden="1" x14ac:dyDescent="0.35">
      <c r="A31" s="4" t="s">
        <v>220</v>
      </c>
      <c r="B31" s="6" t="s">
        <v>218</v>
      </c>
      <c r="C31" s="25" t="s">
        <v>261</v>
      </c>
      <c r="D31" s="25" t="s">
        <v>278</v>
      </c>
      <c r="E31" s="6">
        <v>25</v>
      </c>
      <c r="F31" s="29" t="s">
        <v>457</v>
      </c>
      <c r="G31" s="10">
        <f>SUMIFS(PAQUETE_PK!$G$2:$G$198,PAQUETE_PK!$C$2:$C$198,$C31)</f>
        <v>15</v>
      </c>
      <c r="H31" s="22">
        <v>15</v>
      </c>
      <c r="I31" s="29" t="s">
        <v>197</v>
      </c>
      <c r="J31" s="23">
        <f t="shared" si="1"/>
        <v>225</v>
      </c>
      <c r="K31" s="29"/>
    </row>
    <row r="32" spans="1:11" hidden="1" x14ac:dyDescent="0.35">
      <c r="A32" s="4" t="s">
        <v>220</v>
      </c>
      <c r="B32" s="6" t="s">
        <v>218</v>
      </c>
      <c r="C32" s="25" t="s">
        <v>262</v>
      </c>
      <c r="D32" s="25" t="s">
        <v>285</v>
      </c>
      <c r="E32" s="6">
        <v>24</v>
      </c>
      <c r="F32" s="29" t="s">
        <v>289</v>
      </c>
      <c r="G32" s="10">
        <f>SUMIFS(PAQUETE_PK!$G$2:$G$198,PAQUETE_PK!$C$2:$C$198,$C32)</f>
        <v>1</v>
      </c>
      <c r="H32" s="22">
        <v>1</v>
      </c>
      <c r="I32" s="29" t="s">
        <v>294</v>
      </c>
      <c r="J32" s="23">
        <f t="shared" ref="J32:J36" si="2">G32*H32</f>
        <v>1</v>
      </c>
      <c r="K32" s="29"/>
    </row>
    <row r="33" spans="1:11" hidden="1" x14ac:dyDescent="0.35">
      <c r="A33" s="4" t="s">
        <v>220</v>
      </c>
      <c r="B33" s="6" t="s">
        <v>218</v>
      </c>
      <c r="C33" s="25" t="s">
        <v>262</v>
      </c>
      <c r="D33" s="25" t="s">
        <v>285</v>
      </c>
      <c r="E33" s="6">
        <v>23</v>
      </c>
      <c r="F33" s="29" t="s">
        <v>290</v>
      </c>
      <c r="G33" s="10">
        <f>SUMIFS(PAQUETE_PK!$G$2:$G$198,PAQUETE_PK!$C$2:$C$198,$C33)</f>
        <v>1</v>
      </c>
      <c r="H33" s="22">
        <f>2*2.44/3.2</f>
        <v>1.5249999999999999</v>
      </c>
      <c r="I33" s="29" t="s">
        <v>105</v>
      </c>
      <c r="J33" s="23">
        <f t="shared" si="2"/>
        <v>1.5249999999999999</v>
      </c>
      <c r="K33" s="29"/>
    </row>
    <row r="34" spans="1:11" hidden="1" x14ac:dyDescent="0.35">
      <c r="A34" s="4" t="s">
        <v>220</v>
      </c>
      <c r="B34" s="6" t="s">
        <v>218</v>
      </c>
      <c r="C34" s="25" t="s">
        <v>262</v>
      </c>
      <c r="D34" s="25" t="s">
        <v>285</v>
      </c>
      <c r="E34" s="6">
        <v>26</v>
      </c>
      <c r="F34" s="29" t="s">
        <v>291</v>
      </c>
      <c r="G34" s="10">
        <f>SUMIFS(PAQUETE_PK!$G$2:$G$198,PAQUETE_PK!$C$2:$C$198,$C34)</f>
        <v>1</v>
      </c>
      <c r="H34" s="22">
        <v>1</v>
      </c>
      <c r="I34" s="29" t="s">
        <v>105</v>
      </c>
      <c r="J34" s="23">
        <f t="shared" si="2"/>
        <v>1</v>
      </c>
      <c r="K34" s="29"/>
    </row>
    <row r="35" spans="1:11" hidden="1" x14ac:dyDescent="0.35">
      <c r="A35" s="4" t="s">
        <v>220</v>
      </c>
      <c r="B35" s="6" t="s">
        <v>218</v>
      </c>
      <c r="C35" s="25" t="s">
        <v>262</v>
      </c>
      <c r="D35" s="25" t="s">
        <v>285</v>
      </c>
      <c r="E35" s="6">
        <v>27</v>
      </c>
      <c r="F35" s="29" t="s">
        <v>292</v>
      </c>
      <c r="G35" s="10">
        <f>SUMIFS(PAQUETE_PK!$G$2:$G$198,PAQUETE_PK!$C$2:$C$198,$C35)</f>
        <v>1</v>
      </c>
      <c r="H35" s="22">
        <v>1</v>
      </c>
      <c r="I35" s="29" t="s">
        <v>105</v>
      </c>
      <c r="J35" s="23">
        <f t="shared" si="2"/>
        <v>1</v>
      </c>
      <c r="K35" s="29"/>
    </row>
    <row r="36" spans="1:11" hidden="1" x14ac:dyDescent="0.35">
      <c r="A36" s="4" t="s">
        <v>220</v>
      </c>
      <c r="B36" s="6" t="s">
        <v>218</v>
      </c>
      <c r="C36" s="25" t="s">
        <v>262</v>
      </c>
      <c r="D36" s="25" t="s">
        <v>285</v>
      </c>
      <c r="E36" s="6">
        <v>28</v>
      </c>
      <c r="F36" s="29" t="s">
        <v>293</v>
      </c>
      <c r="G36" s="10">
        <f>SUMIFS(PAQUETE_PK!$G$2:$G$198,PAQUETE_PK!$C$2:$C$198,$C36)</f>
        <v>1</v>
      </c>
      <c r="H36" s="22">
        <v>1</v>
      </c>
      <c r="I36" s="29" t="s">
        <v>295</v>
      </c>
      <c r="J36" s="23">
        <f t="shared" si="2"/>
        <v>1</v>
      </c>
      <c r="K36" s="29"/>
    </row>
    <row r="37" spans="1:11" hidden="1" x14ac:dyDescent="0.35">
      <c r="A37" s="4" t="s">
        <v>220</v>
      </c>
      <c r="B37" s="6" t="s">
        <v>218</v>
      </c>
      <c r="C37" s="25" t="s">
        <v>262</v>
      </c>
      <c r="D37" s="25" t="s">
        <v>285</v>
      </c>
      <c r="E37" s="6">
        <v>8</v>
      </c>
      <c r="F37" s="29" t="s">
        <v>300</v>
      </c>
      <c r="G37" s="10">
        <f>SUMIFS(PAQUETE_PK!$G$2:$G$198,PAQUETE_PK!$C$2:$C$198,$C37)</f>
        <v>1</v>
      </c>
      <c r="H37" s="22">
        <v>4</v>
      </c>
      <c r="I37" s="29" t="s">
        <v>119</v>
      </c>
      <c r="J37" s="23">
        <f t="shared" ref="J37:J40" si="3">G37*H37</f>
        <v>4</v>
      </c>
      <c r="K37" s="29"/>
    </row>
    <row r="38" spans="1:11" hidden="1" x14ac:dyDescent="0.35">
      <c r="A38" s="4" t="s">
        <v>220</v>
      </c>
      <c r="B38" s="6" t="s">
        <v>218</v>
      </c>
      <c r="C38" s="25" t="s">
        <v>262</v>
      </c>
      <c r="D38" s="25" t="s">
        <v>285</v>
      </c>
      <c r="E38" s="6">
        <v>9</v>
      </c>
      <c r="F38" s="29" t="s">
        <v>301</v>
      </c>
      <c r="G38" s="10">
        <f>SUMIFS(PAQUETE_PK!$G$2:$G$198,PAQUETE_PK!$C$2:$C$198,$C38)</f>
        <v>1</v>
      </c>
      <c r="H38" s="22">
        <v>4</v>
      </c>
      <c r="I38" s="29" t="s">
        <v>119</v>
      </c>
      <c r="J38" s="23">
        <f t="shared" si="3"/>
        <v>4</v>
      </c>
      <c r="K38" s="29"/>
    </row>
    <row r="39" spans="1:11" hidden="1" x14ac:dyDescent="0.35">
      <c r="A39" s="4" t="s">
        <v>220</v>
      </c>
      <c r="B39" s="6" t="s">
        <v>218</v>
      </c>
      <c r="C39" s="25" t="s">
        <v>262</v>
      </c>
      <c r="D39" s="25" t="s">
        <v>285</v>
      </c>
      <c r="E39" s="6">
        <v>10</v>
      </c>
      <c r="F39" s="29" t="s">
        <v>302</v>
      </c>
      <c r="G39" s="10">
        <f>SUMIFS(PAQUETE_PK!$G$2:$G$198,PAQUETE_PK!$C$2:$C$198,$C39)</f>
        <v>1</v>
      </c>
      <c r="H39" s="22">
        <v>4</v>
      </c>
      <c r="I39" s="29" t="s">
        <v>119</v>
      </c>
      <c r="J39" s="23">
        <f t="shared" si="3"/>
        <v>4</v>
      </c>
      <c r="K39" s="29"/>
    </row>
    <row r="40" spans="1:11" hidden="1" x14ac:dyDescent="0.35">
      <c r="A40" s="34" t="s">
        <v>299</v>
      </c>
      <c r="B40" s="4" t="s">
        <v>296</v>
      </c>
      <c r="C40" s="34" t="s">
        <v>307</v>
      </c>
      <c r="D40" s="34" t="s">
        <v>308</v>
      </c>
      <c r="E40" s="21">
        <v>23</v>
      </c>
      <c r="F40" s="29" t="s">
        <v>309</v>
      </c>
      <c r="G40" s="10">
        <f>SUMIFS(PAQUETE_PK!$G$2:$G$198,PAQUETE_PK!$C$2:$C$198,$C40)</f>
        <v>2</v>
      </c>
      <c r="H40" s="22">
        <f>(1.2+0.6+0.6+0.6)/3.2</f>
        <v>0.9375</v>
      </c>
      <c r="I40" s="29" t="s">
        <v>310</v>
      </c>
      <c r="J40" s="23">
        <f t="shared" si="3"/>
        <v>1.875</v>
      </c>
      <c r="K40" s="29"/>
    </row>
    <row r="41" spans="1:11" hidden="1" x14ac:dyDescent="0.35">
      <c r="A41" s="34" t="s">
        <v>299</v>
      </c>
      <c r="B41" s="4" t="s">
        <v>296</v>
      </c>
      <c r="C41" s="34" t="s">
        <v>307</v>
      </c>
      <c r="D41" s="34" t="s">
        <v>308</v>
      </c>
      <c r="E41" s="21">
        <v>8</v>
      </c>
      <c r="F41" s="29" t="s">
        <v>311</v>
      </c>
      <c r="G41" s="10">
        <f>SUMIFS(PAQUETE_PK!$G$2:$G$198,PAQUETE_PK!$C$2:$C$198,$C41)</f>
        <v>2</v>
      </c>
      <c r="H41" s="22">
        <v>0.3</v>
      </c>
      <c r="I41" s="29" t="s">
        <v>314</v>
      </c>
      <c r="J41" s="23">
        <f t="shared" ref="J41:J43" si="4">G41*H41</f>
        <v>0.6</v>
      </c>
      <c r="K41" s="29"/>
    </row>
    <row r="42" spans="1:11" hidden="1" x14ac:dyDescent="0.35">
      <c r="A42" s="34" t="s">
        <v>299</v>
      </c>
      <c r="B42" s="4" t="s">
        <v>296</v>
      </c>
      <c r="C42" s="34" t="s">
        <v>307</v>
      </c>
      <c r="D42" s="34" t="s">
        <v>308</v>
      </c>
      <c r="E42" s="21">
        <v>9</v>
      </c>
      <c r="F42" s="29" t="s">
        <v>313</v>
      </c>
      <c r="G42" s="10">
        <f>SUMIFS(PAQUETE_PK!$G$2:$G$198,PAQUETE_PK!$C$2:$C$198,$C42)</f>
        <v>2</v>
      </c>
      <c r="H42" s="22">
        <v>0.3</v>
      </c>
      <c r="I42" s="29" t="s">
        <v>314</v>
      </c>
      <c r="J42" s="23">
        <f t="shared" si="4"/>
        <v>0.6</v>
      </c>
      <c r="K42" s="29"/>
    </row>
    <row r="43" spans="1:11" hidden="1" x14ac:dyDescent="0.35">
      <c r="A43" s="34" t="s">
        <v>299</v>
      </c>
      <c r="B43" s="4" t="s">
        <v>296</v>
      </c>
      <c r="C43" s="34" t="s">
        <v>307</v>
      </c>
      <c r="D43" s="34" t="s">
        <v>308</v>
      </c>
      <c r="E43" s="21">
        <v>10</v>
      </c>
      <c r="F43" s="29" t="s">
        <v>312</v>
      </c>
      <c r="G43" s="10">
        <f>SUMIFS(PAQUETE_PK!$G$2:$G$198,PAQUETE_PK!$C$2:$C$198,$C43)</f>
        <v>2</v>
      </c>
      <c r="H43" s="22">
        <v>0.3</v>
      </c>
      <c r="I43" s="29" t="s">
        <v>314</v>
      </c>
      <c r="J43" s="23">
        <f t="shared" si="4"/>
        <v>0.6</v>
      </c>
      <c r="K43" s="29"/>
    </row>
    <row r="44" spans="1:11" x14ac:dyDescent="0.35">
      <c r="A44" s="4" t="s">
        <v>325</v>
      </c>
      <c r="B44" s="4" t="s">
        <v>326</v>
      </c>
      <c r="C44" s="4" t="s">
        <v>340</v>
      </c>
      <c r="D44" s="4" t="s">
        <v>380</v>
      </c>
      <c r="E44" s="21">
        <v>21</v>
      </c>
      <c r="F44" s="29" t="s">
        <v>381</v>
      </c>
      <c r="G44" s="39">
        <f>SUMIFS(PAQUETE_PK!$G$2:$G$198,PAQUETE_PK!$C$2:$C$198,$C44)</f>
        <v>0.29249999999999998</v>
      </c>
      <c r="H44" s="22">
        <v>1</v>
      </c>
      <c r="I44" s="29" t="s">
        <v>382</v>
      </c>
      <c r="J44" s="23">
        <f>G44*H44</f>
        <v>0.29249999999999998</v>
      </c>
      <c r="K44" s="29"/>
    </row>
    <row r="45" spans="1:11" x14ac:dyDescent="0.35">
      <c r="A45" s="4" t="s">
        <v>325</v>
      </c>
      <c r="B45" s="4" t="s">
        <v>326</v>
      </c>
      <c r="C45" s="4" t="s">
        <v>341</v>
      </c>
      <c r="D45" s="4" t="s">
        <v>387</v>
      </c>
      <c r="E45" s="21">
        <v>29</v>
      </c>
      <c r="F45" s="29" t="s">
        <v>393</v>
      </c>
      <c r="G45" s="39">
        <f>SUMIFS(PAQUETE_PK!$G$2:$G$198,PAQUETE_PK!$C$2:$C$198,$C45)</f>
        <v>2.7E-2</v>
      </c>
      <c r="H45" s="22">
        <v>0.48599999999999999</v>
      </c>
      <c r="I45" s="29" t="s">
        <v>360</v>
      </c>
      <c r="J45" s="23">
        <f t="shared" ref="J45:J47" si="5">G45*H45</f>
        <v>1.3122E-2</v>
      </c>
      <c r="K45" s="29"/>
    </row>
    <row r="46" spans="1:11" x14ac:dyDescent="0.35">
      <c r="A46" s="4" t="s">
        <v>325</v>
      </c>
      <c r="B46" s="4" t="s">
        <v>326</v>
      </c>
      <c r="C46" s="4" t="s">
        <v>341</v>
      </c>
      <c r="D46" s="4" t="s">
        <v>387</v>
      </c>
      <c r="E46" s="21">
        <v>30</v>
      </c>
      <c r="F46" s="29" t="s">
        <v>394</v>
      </c>
      <c r="G46" s="39">
        <f>SUMIFS(PAQUETE_PK!$G$2:$G$198,PAQUETE_PK!$C$2:$C$198,$C46)</f>
        <v>2.7E-2</v>
      </c>
      <c r="H46" s="22">
        <v>0.92700000000000005</v>
      </c>
      <c r="I46" s="29" t="s">
        <v>360</v>
      </c>
      <c r="J46" s="23">
        <f t="shared" si="5"/>
        <v>2.5029000000000003E-2</v>
      </c>
      <c r="K46" s="29"/>
    </row>
    <row r="47" spans="1:11" x14ac:dyDescent="0.35">
      <c r="A47" s="4" t="s">
        <v>325</v>
      </c>
      <c r="B47" s="4" t="s">
        <v>326</v>
      </c>
      <c r="C47" s="4" t="s">
        <v>341</v>
      </c>
      <c r="D47" s="4" t="s">
        <v>387</v>
      </c>
      <c r="E47" s="21">
        <v>31</v>
      </c>
      <c r="F47" s="29" t="s">
        <v>395</v>
      </c>
      <c r="G47" s="39">
        <f>SUMIFS(PAQUETE_PK!$G$2:$G$198,PAQUETE_PK!$C$2:$C$198,$C47)</f>
        <v>2.7E-2</v>
      </c>
      <c r="H47" s="22">
        <v>4.4000000000000004</v>
      </c>
      <c r="I47" s="29" t="s">
        <v>392</v>
      </c>
      <c r="J47" s="23">
        <f t="shared" si="5"/>
        <v>0.1188</v>
      </c>
      <c r="K47" s="29"/>
    </row>
    <row r="48" spans="1:11" x14ac:dyDescent="0.35">
      <c r="A48" s="4" t="s">
        <v>325</v>
      </c>
      <c r="B48" s="4" t="s">
        <v>326</v>
      </c>
      <c r="C48" s="4" t="s">
        <v>341</v>
      </c>
      <c r="D48" s="4" t="s">
        <v>387</v>
      </c>
      <c r="E48" s="21">
        <v>8</v>
      </c>
      <c r="F48" s="29" t="s">
        <v>396</v>
      </c>
      <c r="G48" s="39">
        <f>SUMIFS(PAQUETE_PK!$G$2:$G$198,PAQUETE_PK!$C$2:$C$198,$C48)</f>
        <v>2.7E-2</v>
      </c>
      <c r="H48" s="22">
        <v>1.46</v>
      </c>
      <c r="I48" s="29" t="s">
        <v>400</v>
      </c>
      <c r="J48" s="23">
        <f t="shared" ref="J48:J52" si="6">G48*H48</f>
        <v>3.9419999999999997E-2</v>
      </c>
      <c r="K48" s="29" t="s">
        <v>399</v>
      </c>
    </row>
    <row r="49" spans="1:11" x14ac:dyDescent="0.35">
      <c r="A49" s="4" t="s">
        <v>325</v>
      </c>
      <c r="B49" s="4" t="s">
        <v>326</v>
      </c>
      <c r="C49" s="4" t="s">
        <v>341</v>
      </c>
      <c r="D49" s="4" t="s">
        <v>387</v>
      </c>
      <c r="E49" s="21">
        <v>9</v>
      </c>
      <c r="F49" s="29" t="s">
        <v>397</v>
      </c>
      <c r="G49" s="39">
        <f>SUMIFS(PAQUETE_PK!$G$2:$G$198,PAQUETE_PK!$C$2:$C$198,$C49)</f>
        <v>2.7E-2</v>
      </c>
      <c r="H49" s="22">
        <v>1.46</v>
      </c>
      <c r="I49" s="29" t="s">
        <v>400</v>
      </c>
      <c r="J49" s="23">
        <f t="shared" si="6"/>
        <v>3.9419999999999997E-2</v>
      </c>
      <c r="K49" s="29" t="s">
        <v>399</v>
      </c>
    </row>
    <row r="50" spans="1:11" x14ac:dyDescent="0.35">
      <c r="A50" s="4" t="s">
        <v>325</v>
      </c>
      <c r="B50" s="4" t="s">
        <v>326</v>
      </c>
      <c r="C50" s="4" t="s">
        <v>341</v>
      </c>
      <c r="D50" s="4" t="s">
        <v>387</v>
      </c>
      <c r="E50" s="21">
        <v>10</v>
      </c>
      <c r="F50" s="29" t="s">
        <v>398</v>
      </c>
      <c r="G50" s="39">
        <f>SUMIFS(PAQUETE_PK!$G$2:$G$198,PAQUETE_PK!$C$2:$C$198,$C50)</f>
        <v>2.7E-2</v>
      </c>
      <c r="H50" s="22">
        <v>5.85</v>
      </c>
      <c r="I50" s="29" t="s">
        <v>400</v>
      </c>
      <c r="J50" s="23">
        <f t="shared" si="6"/>
        <v>0.15794999999999998</v>
      </c>
      <c r="K50" s="29" t="s">
        <v>399</v>
      </c>
    </row>
    <row r="51" spans="1:11" x14ac:dyDescent="0.35">
      <c r="A51" s="4" t="s">
        <v>325</v>
      </c>
      <c r="B51" s="4" t="s">
        <v>326</v>
      </c>
      <c r="C51" s="25" t="s">
        <v>344</v>
      </c>
      <c r="D51" s="25" t="s">
        <v>401</v>
      </c>
      <c r="E51" s="29">
        <v>32</v>
      </c>
      <c r="F51" s="29" t="s">
        <v>405</v>
      </c>
      <c r="G51" s="39">
        <f>SUMIFS(PAQUETE_PK!$G$2:$G$198,PAQUETE_PK!$C$2:$C$198,$C51)</f>
        <v>4.95</v>
      </c>
      <c r="H51" s="41">
        <f>1/6</f>
        <v>0.16666666666666666</v>
      </c>
      <c r="I51" s="29" t="s">
        <v>406</v>
      </c>
      <c r="J51" s="42">
        <f t="shared" si="6"/>
        <v>0.82499999999999996</v>
      </c>
      <c r="K51" s="29" t="s">
        <v>459</v>
      </c>
    </row>
    <row r="52" spans="1:11" x14ac:dyDescent="0.35">
      <c r="A52" s="4" t="s">
        <v>325</v>
      </c>
      <c r="B52" s="4" t="s">
        <v>326</v>
      </c>
      <c r="C52" s="25" t="s">
        <v>344</v>
      </c>
      <c r="D52" s="25" t="s">
        <v>401</v>
      </c>
      <c r="E52" s="29">
        <v>33</v>
      </c>
      <c r="F52" s="29" t="s">
        <v>458</v>
      </c>
      <c r="G52" s="39">
        <f>SUMIFS(PAQUETE_PK!$G$2:$G$198,PAQUETE_PK!$C$2:$C$198,$C52)</f>
        <v>4.95</v>
      </c>
      <c r="H52" s="43">
        <f>0.56*0.2/6.72</f>
        <v>1.666666666666667E-2</v>
      </c>
      <c r="I52" s="29" t="s">
        <v>407</v>
      </c>
      <c r="J52" s="42">
        <f t="shared" si="6"/>
        <v>8.2500000000000018E-2</v>
      </c>
      <c r="K52" s="29" t="s">
        <v>459</v>
      </c>
    </row>
    <row r="53" spans="1:11" x14ac:dyDescent="0.35">
      <c r="A53" s="4" t="s">
        <v>325</v>
      </c>
      <c r="B53" s="4" t="s">
        <v>326</v>
      </c>
      <c r="C53" s="25" t="s">
        <v>344</v>
      </c>
      <c r="D53" s="25" t="s">
        <v>401</v>
      </c>
      <c r="E53" s="29">
        <v>8</v>
      </c>
      <c r="F53" s="29" t="s">
        <v>408</v>
      </c>
      <c r="G53" s="39">
        <f>SUMIFS(PAQUETE_PK!$G$2:$G$198,PAQUETE_PK!$C$2:$C$198,$C53)</f>
        <v>4.95</v>
      </c>
      <c r="H53" s="43">
        <f>0.25/4.95</f>
        <v>5.0505050505050504E-2</v>
      </c>
      <c r="I53" s="29" t="s">
        <v>410</v>
      </c>
      <c r="J53" s="42">
        <f t="shared" ref="J53:J61" si="7">G53*H53</f>
        <v>0.25</v>
      </c>
      <c r="K53" s="29" t="s">
        <v>399</v>
      </c>
    </row>
    <row r="54" spans="1:11" x14ac:dyDescent="0.35">
      <c r="A54" s="4" t="s">
        <v>325</v>
      </c>
      <c r="B54" s="4" t="s">
        <v>326</v>
      </c>
      <c r="C54" s="25" t="s">
        <v>344</v>
      </c>
      <c r="D54" s="25" t="s">
        <v>401</v>
      </c>
      <c r="E54" s="29">
        <v>10</v>
      </c>
      <c r="F54" s="29" t="s">
        <v>409</v>
      </c>
      <c r="G54" s="39">
        <f>SUMIFS(PAQUETE_PK!$G$2:$G$198,PAQUETE_PK!$C$2:$C$198,$C54)</f>
        <v>4.95</v>
      </c>
      <c r="H54" s="43">
        <f>0.11/4.95</f>
        <v>2.2222222222222223E-2</v>
      </c>
      <c r="I54" s="29" t="s">
        <v>410</v>
      </c>
      <c r="J54" s="42">
        <f t="shared" si="7"/>
        <v>0.11000000000000001</v>
      </c>
      <c r="K54" s="29" t="s">
        <v>399</v>
      </c>
    </row>
    <row r="55" spans="1:11" x14ac:dyDescent="0.35">
      <c r="A55" s="4" t="s">
        <v>325</v>
      </c>
      <c r="B55" s="4" t="s">
        <v>326</v>
      </c>
      <c r="C55" s="25" t="s">
        <v>346</v>
      </c>
      <c r="D55" s="25" t="s">
        <v>411</v>
      </c>
      <c r="E55" s="29">
        <v>29</v>
      </c>
      <c r="F55" s="29" t="s">
        <v>413</v>
      </c>
      <c r="G55" s="39">
        <f>SUMIFS(PAQUETE_PK!$G$2:$G$198,PAQUETE_PK!$C$2:$C$198,$C55)</f>
        <v>8.3999999999999991E-2</v>
      </c>
      <c r="H55" s="43">
        <v>0.42699999999999999</v>
      </c>
      <c r="I55" s="29" t="s">
        <v>360</v>
      </c>
      <c r="J55" s="42">
        <f t="shared" si="7"/>
        <v>3.5867999999999997E-2</v>
      </c>
      <c r="K55" s="29"/>
    </row>
    <row r="56" spans="1:11" x14ac:dyDescent="0.35">
      <c r="A56" s="4" t="s">
        <v>325</v>
      </c>
      <c r="B56" s="4" t="s">
        <v>326</v>
      </c>
      <c r="C56" s="25" t="s">
        <v>346</v>
      </c>
      <c r="D56" s="25" t="s">
        <v>411</v>
      </c>
      <c r="E56" s="29">
        <v>30</v>
      </c>
      <c r="F56" s="29" t="s">
        <v>414</v>
      </c>
      <c r="G56" s="39">
        <f>SUMIFS(PAQUETE_PK!$G$2:$G$198,PAQUETE_PK!$C$2:$C$198,$C56)</f>
        <v>8.3999999999999991E-2</v>
      </c>
      <c r="H56" s="43">
        <v>0.85399999999999998</v>
      </c>
      <c r="I56" s="29" t="s">
        <v>360</v>
      </c>
      <c r="J56" s="42">
        <f t="shared" si="7"/>
        <v>7.1735999999999994E-2</v>
      </c>
      <c r="K56" s="29"/>
    </row>
    <row r="57" spans="1:11" x14ac:dyDescent="0.35">
      <c r="A57" s="4" t="s">
        <v>325</v>
      </c>
      <c r="B57" s="4" t="s">
        <v>326</v>
      </c>
      <c r="C57" s="25" t="s">
        <v>346</v>
      </c>
      <c r="D57" s="25" t="s">
        <v>411</v>
      </c>
      <c r="E57" s="29">
        <v>31</v>
      </c>
      <c r="F57" s="29" t="s">
        <v>415</v>
      </c>
      <c r="G57" s="39">
        <f>SUMIFS(PAQUETE_PK!$G$2:$G$198,PAQUETE_PK!$C$2:$C$198,$C57)</f>
        <v>8.3999999999999991E-2</v>
      </c>
      <c r="H57" s="43">
        <v>7.65</v>
      </c>
      <c r="I57" s="29" t="s">
        <v>392</v>
      </c>
      <c r="J57" s="42">
        <f t="shared" si="7"/>
        <v>0.64259999999999995</v>
      </c>
      <c r="K57" s="29"/>
    </row>
    <row r="58" spans="1:11" x14ac:dyDescent="0.35">
      <c r="A58" s="4" t="s">
        <v>325</v>
      </c>
      <c r="B58" s="4" t="s">
        <v>326</v>
      </c>
      <c r="C58" s="25" t="s">
        <v>346</v>
      </c>
      <c r="D58" s="25" t="s">
        <v>411</v>
      </c>
      <c r="E58" s="29">
        <v>8</v>
      </c>
      <c r="F58" s="29" t="s">
        <v>416</v>
      </c>
      <c r="G58" s="39">
        <f>SUMIFS(PAQUETE_PK!$G$2:$G$198,PAQUETE_PK!$C$2:$C$198,$C58)</f>
        <v>8.3999999999999991E-2</v>
      </c>
      <c r="H58" s="41">
        <v>1.5</v>
      </c>
      <c r="I58" s="29" t="s">
        <v>400</v>
      </c>
      <c r="J58" s="42">
        <f t="shared" si="7"/>
        <v>0.126</v>
      </c>
      <c r="K58" s="29" t="s">
        <v>399</v>
      </c>
    </row>
    <row r="59" spans="1:11" x14ac:dyDescent="0.35">
      <c r="A59" s="4" t="s">
        <v>325</v>
      </c>
      <c r="B59" s="4" t="s">
        <v>326</v>
      </c>
      <c r="C59" s="25" t="s">
        <v>346</v>
      </c>
      <c r="D59" s="25" t="s">
        <v>411</v>
      </c>
      <c r="E59" s="29">
        <v>9</v>
      </c>
      <c r="F59" s="29" t="s">
        <v>417</v>
      </c>
      <c r="G59" s="39">
        <f>SUMIFS(PAQUETE_PK!$G$2:$G$198,PAQUETE_PK!$C$2:$C$198,$C59)</f>
        <v>8.3999999999999991E-2</v>
      </c>
      <c r="H59" s="41">
        <v>1.44</v>
      </c>
      <c r="I59" s="29" t="s">
        <v>400</v>
      </c>
      <c r="J59" s="42">
        <f t="shared" si="7"/>
        <v>0.12095999999999998</v>
      </c>
      <c r="K59" s="29" t="s">
        <v>399</v>
      </c>
    </row>
    <row r="60" spans="1:11" x14ac:dyDescent="0.35">
      <c r="A60" s="4" t="s">
        <v>325</v>
      </c>
      <c r="B60" s="4" t="s">
        <v>326</v>
      </c>
      <c r="C60" s="25" t="s">
        <v>346</v>
      </c>
      <c r="D60" s="25" t="s">
        <v>411</v>
      </c>
      <c r="E60" s="29">
        <v>10</v>
      </c>
      <c r="F60" s="29" t="s">
        <v>418</v>
      </c>
      <c r="G60" s="39">
        <f>SUMIFS(PAQUETE_PK!$G$2:$G$198,PAQUETE_PK!$C$2:$C$198,$C60)</f>
        <v>8.3999999999999991E-2</v>
      </c>
      <c r="H60" s="41">
        <v>3.75</v>
      </c>
      <c r="I60" s="29" t="s">
        <v>400</v>
      </c>
      <c r="J60" s="42">
        <f t="shared" si="7"/>
        <v>0.31499999999999995</v>
      </c>
      <c r="K60" s="29" t="s">
        <v>399</v>
      </c>
    </row>
    <row r="61" spans="1:11" hidden="1" x14ac:dyDescent="0.35">
      <c r="A61" s="4" t="s">
        <v>420</v>
      </c>
      <c r="B61" s="4" t="s">
        <v>421</v>
      </c>
      <c r="C61" s="25" t="s">
        <v>434</v>
      </c>
      <c r="D61" s="25" t="s">
        <v>447</v>
      </c>
      <c r="E61" s="29">
        <v>34</v>
      </c>
      <c r="F61" s="29" t="s">
        <v>449</v>
      </c>
      <c r="G61" s="39">
        <f>SUMIFS(PAQUETE_PK!$G$2:$G$198,PAQUETE_PK!$C$2:$C$198,$C61)</f>
        <v>0.40000000000000008</v>
      </c>
      <c r="H61" s="45">
        <f>2.5*5</f>
        <v>12.5</v>
      </c>
      <c r="I61" s="29" t="s">
        <v>197</v>
      </c>
      <c r="J61" s="42">
        <f t="shared" si="7"/>
        <v>5.0000000000000009</v>
      </c>
      <c r="K61" s="29"/>
    </row>
    <row r="62" spans="1:11" hidden="1" x14ac:dyDescent="0.35">
      <c r="A62" s="4" t="s">
        <v>420</v>
      </c>
      <c r="B62" s="4" t="s">
        <v>421</v>
      </c>
      <c r="C62" s="25" t="s">
        <v>434</v>
      </c>
      <c r="D62" s="25" t="s">
        <v>447</v>
      </c>
      <c r="E62" s="29">
        <v>35</v>
      </c>
      <c r="F62" s="29" t="s">
        <v>451</v>
      </c>
      <c r="G62" s="39">
        <f>SUMIFS(PAQUETE_PK!$G$2:$G$198,PAQUETE_PK!$C$2:$C$198,$C62)</f>
        <v>0.40000000000000008</v>
      </c>
      <c r="H62" s="41">
        <v>0.25</v>
      </c>
      <c r="I62" s="29" t="s">
        <v>197</v>
      </c>
      <c r="J62" s="42">
        <f t="shared" ref="J62" si="8">G62*H62</f>
        <v>0.10000000000000002</v>
      </c>
      <c r="K62" s="29"/>
    </row>
    <row r="63" spans="1:11" hidden="1" x14ac:dyDescent="0.35">
      <c r="A63" s="4" t="s">
        <v>420</v>
      </c>
      <c r="B63" s="4" t="s">
        <v>421</v>
      </c>
      <c r="C63" s="25" t="s">
        <v>434</v>
      </c>
      <c r="D63" s="25" t="s">
        <v>447</v>
      </c>
      <c r="E63" s="29">
        <v>8</v>
      </c>
      <c r="F63" s="29" t="s">
        <v>152</v>
      </c>
      <c r="G63" s="39">
        <f>SUMIFS(PAQUETE_PK!$G$2:$G$198,PAQUETE_PK!$C$2:$C$198,$C63)</f>
        <v>0.40000000000000008</v>
      </c>
      <c r="H63" s="41">
        <f>0.57</f>
        <v>0.56999999999999995</v>
      </c>
      <c r="I63" s="29" t="s">
        <v>452</v>
      </c>
      <c r="J63" s="42">
        <f t="shared" ref="J63:J68" si="9">G63*H63</f>
        <v>0.22800000000000004</v>
      </c>
      <c r="K63" s="29" t="s">
        <v>456</v>
      </c>
    </row>
    <row r="64" spans="1:11" hidden="1" x14ac:dyDescent="0.35">
      <c r="A64" s="4" t="s">
        <v>420</v>
      </c>
      <c r="B64" s="4" t="s">
        <v>421</v>
      </c>
      <c r="C64" s="25" t="s">
        <v>434</v>
      </c>
      <c r="D64" s="25" t="s">
        <v>447</v>
      </c>
      <c r="E64" s="29">
        <v>9</v>
      </c>
      <c r="F64" s="29" t="s">
        <v>155</v>
      </c>
      <c r="G64" s="39">
        <f>SUMIFS(PAQUETE_PK!$G$2:$G$198,PAQUETE_PK!$C$2:$C$198,$C64)</f>
        <v>0.40000000000000008</v>
      </c>
      <c r="H64" s="41">
        <f>0.04+0.33</f>
        <v>0.37</v>
      </c>
      <c r="I64" s="29" t="s">
        <v>452</v>
      </c>
      <c r="J64" s="42">
        <f t="shared" si="9"/>
        <v>0.14800000000000002</v>
      </c>
      <c r="K64" s="29" t="s">
        <v>456</v>
      </c>
    </row>
    <row r="65" spans="1:11" hidden="1" x14ac:dyDescent="0.35">
      <c r="A65" s="4" t="s">
        <v>420</v>
      </c>
      <c r="B65" s="4" t="s">
        <v>421</v>
      </c>
      <c r="C65" s="25" t="s">
        <v>434</v>
      </c>
      <c r="D65" s="25" t="s">
        <v>447</v>
      </c>
      <c r="E65" s="29">
        <v>10</v>
      </c>
      <c r="F65" s="29" t="s">
        <v>156</v>
      </c>
      <c r="G65" s="39">
        <f>SUMIFS(PAQUETE_PK!$G$2:$G$198,PAQUETE_PK!$C$2:$C$198,$C65)</f>
        <v>0.40000000000000008</v>
      </c>
      <c r="H65" s="41">
        <f>0.14+0.33</f>
        <v>0.47000000000000003</v>
      </c>
      <c r="I65" s="29" t="s">
        <v>452</v>
      </c>
      <c r="J65" s="42">
        <f t="shared" si="9"/>
        <v>0.18800000000000006</v>
      </c>
      <c r="K65" s="29" t="s">
        <v>456</v>
      </c>
    </row>
    <row r="66" spans="1:11" hidden="1" x14ac:dyDescent="0.35">
      <c r="A66" s="4" t="s">
        <v>420</v>
      </c>
      <c r="B66" s="4" t="s">
        <v>421</v>
      </c>
      <c r="C66" s="25" t="s">
        <v>439</v>
      </c>
      <c r="D66" s="25" t="s">
        <v>453</v>
      </c>
      <c r="E66" s="29">
        <v>32</v>
      </c>
      <c r="F66" s="29" t="s">
        <v>454</v>
      </c>
      <c r="G66" s="39">
        <f>SUMIFS(PAQUETE_PK!$G$2:$G$198,PAQUETE_PK!$C$2:$C$198,$C66)</f>
        <v>2.0666666666666669</v>
      </c>
      <c r="H66" s="41">
        <f>1/6</f>
        <v>0.16666666666666666</v>
      </c>
      <c r="I66" s="29" t="s">
        <v>406</v>
      </c>
      <c r="J66" s="42">
        <f t="shared" si="9"/>
        <v>0.34444444444444444</v>
      </c>
      <c r="K66" s="29"/>
    </row>
    <row r="67" spans="1:11" hidden="1" x14ac:dyDescent="0.35">
      <c r="A67" s="4" t="s">
        <v>420</v>
      </c>
      <c r="B67" s="4" t="s">
        <v>421</v>
      </c>
      <c r="C67" s="25" t="s">
        <v>439</v>
      </c>
      <c r="D67" s="25" t="s">
        <v>453</v>
      </c>
      <c r="E67" s="29">
        <v>33</v>
      </c>
      <c r="F67" s="29" t="s">
        <v>455</v>
      </c>
      <c r="G67" s="39">
        <f>SUMIFS(PAQUETE_PK!$G$2:$G$198,PAQUETE_PK!$C$2:$C$198,$C67)</f>
        <v>2.0666666666666669</v>
      </c>
      <c r="H67" s="41">
        <f>0.56*0.2/6.72</f>
        <v>1.666666666666667E-2</v>
      </c>
      <c r="I67" s="29" t="s">
        <v>407</v>
      </c>
      <c r="J67" s="42">
        <f t="shared" si="9"/>
        <v>3.4444444444444451E-2</v>
      </c>
      <c r="K67" s="29"/>
    </row>
    <row r="68" spans="1:11" hidden="1" x14ac:dyDescent="0.35">
      <c r="A68" s="4" t="s">
        <v>420</v>
      </c>
      <c r="B68" s="4" t="s">
        <v>421</v>
      </c>
      <c r="C68" s="25" t="s">
        <v>439</v>
      </c>
      <c r="D68" s="25" t="s">
        <v>453</v>
      </c>
      <c r="E68" s="29">
        <v>8</v>
      </c>
      <c r="F68" s="29" t="s">
        <v>152</v>
      </c>
      <c r="G68" s="39">
        <f>SUMIFS(PAQUETE_PK!$G$2:$G$198,PAQUETE_PK!$C$2:$C$198,$C68)</f>
        <v>2.0666666666666669</v>
      </c>
      <c r="H68" s="41">
        <f>0.1/2.0667</f>
        <v>4.8386316349736301E-2</v>
      </c>
      <c r="I68" s="29" t="s">
        <v>460</v>
      </c>
      <c r="J68" s="42">
        <f t="shared" si="9"/>
        <v>9.9998387122788371E-2</v>
      </c>
      <c r="K68" s="29"/>
    </row>
    <row r="69" spans="1:11" hidden="1" x14ac:dyDescent="0.35">
      <c r="A69" s="4" t="s">
        <v>420</v>
      </c>
      <c r="B69" s="4" t="s">
        <v>421</v>
      </c>
      <c r="C69" s="25" t="s">
        <v>440</v>
      </c>
      <c r="D69" s="25" t="s">
        <v>461</v>
      </c>
      <c r="E69" s="21">
        <v>29</v>
      </c>
      <c r="F69" s="29" t="s">
        <v>388</v>
      </c>
      <c r="G69" s="39">
        <f>SUMIFS(PAQUETE_PK!$G$2:$G$198,PAQUETE_PK!$C$2:$C$198,$C69)</f>
        <v>4.6919999999999996E-2</v>
      </c>
      <c r="H69" s="41">
        <v>0.7</v>
      </c>
      <c r="I69" s="29" t="s">
        <v>360</v>
      </c>
      <c r="J69" s="42">
        <f t="shared" ref="J69:J74" si="10">G69*H69</f>
        <v>3.2843999999999998E-2</v>
      </c>
      <c r="K69" s="29"/>
    </row>
    <row r="70" spans="1:11" hidden="1" x14ac:dyDescent="0.35">
      <c r="A70" s="4" t="s">
        <v>420</v>
      </c>
      <c r="B70" s="4" t="s">
        <v>421</v>
      </c>
      <c r="C70" s="25" t="s">
        <v>440</v>
      </c>
      <c r="D70" s="25" t="s">
        <v>461</v>
      </c>
      <c r="E70" s="21">
        <v>30</v>
      </c>
      <c r="F70" s="29" t="s">
        <v>389</v>
      </c>
      <c r="G70" s="39">
        <f>SUMIFS(PAQUETE_PK!$G$2:$G$198,PAQUETE_PK!$C$2:$C$198,$C70)</f>
        <v>4.6919999999999996E-2</v>
      </c>
      <c r="H70" s="41">
        <v>0.56000000000000005</v>
      </c>
      <c r="I70" s="29" t="s">
        <v>360</v>
      </c>
      <c r="J70" s="42">
        <f t="shared" si="10"/>
        <v>2.6275200000000002E-2</v>
      </c>
      <c r="K70" s="29"/>
    </row>
    <row r="71" spans="1:11" hidden="1" x14ac:dyDescent="0.35">
      <c r="A71" s="4" t="s">
        <v>420</v>
      </c>
      <c r="B71" s="4" t="s">
        <v>421</v>
      </c>
      <c r="C71" s="25" t="s">
        <v>440</v>
      </c>
      <c r="D71" s="25" t="s">
        <v>461</v>
      </c>
      <c r="E71" s="21">
        <v>31</v>
      </c>
      <c r="F71" s="29" t="s">
        <v>390</v>
      </c>
      <c r="G71" s="39">
        <f>SUMIFS(PAQUETE_PK!$G$2:$G$198,PAQUETE_PK!$C$2:$C$198,$C71)</f>
        <v>4.6919999999999996E-2</v>
      </c>
      <c r="H71" s="41">
        <v>8</v>
      </c>
      <c r="I71" s="29" t="s">
        <v>392</v>
      </c>
      <c r="J71" s="42">
        <f t="shared" si="10"/>
        <v>0.37535999999999997</v>
      </c>
      <c r="K71" s="29"/>
    </row>
    <row r="72" spans="1:11" hidden="1" x14ac:dyDescent="0.35">
      <c r="A72" s="4" t="s">
        <v>420</v>
      </c>
      <c r="B72" s="4" t="s">
        <v>421</v>
      </c>
      <c r="C72" s="25" t="s">
        <v>440</v>
      </c>
      <c r="D72" s="25" t="s">
        <v>461</v>
      </c>
      <c r="E72" s="21">
        <v>8</v>
      </c>
      <c r="F72" s="29" t="s">
        <v>152</v>
      </c>
      <c r="G72" s="39">
        <f>SUMIFS(PAQUETE_PK!$G$2:$G$198,PAQUETE_PK!$C$2:$C$198,$C72)</f>
        <v>4.6919999999999996E-2</v>
      </c>
      <c r="H72" s="41">
        <v>1.1000000000000001</v>
      </c>
      <c r="I72" s="29" t="s">
        <v>400</v>
      </c>
      <c r="J72" s="42">
        <f t="shared" si="10"/>
        <v>5.1611999999999998E-2</v>
      </c>
      <c r="K72" s="29"/>
    </row>
    <row r="73" spans="1:11" hidden="1" x14ac:dyDescent="0.35">
      <c r="A73" s="4" t="s">
        <v>420</v>
      </c>
      <c r="B73" s="4" t="s">
        <v>421</v>
      </c>
      <c r="C73" s="25" t="s">
        <v>440</v>
      </c>
      <c r="D73" s="25" t="s">
        <v>461</v>
      </c>
      <c r="E73" s="21">
        <v>9</v>
      </c>
      <c r="F73" s="29" t="s">
        <v>155</v>
      </c>
      <c r="G73" s="39">
        <f>SUMIFS(PAQUETE_PK!$G$2:$G$198,PAQUETE_PK!$C$2:$C$198,$C73)</f>
        <v>4.6919999999999996E-2</v>
      </c>
      <c r="H73" s="41">
        <v>1.1000000000000001</v>
      </c>
      <c r="I73" s="29" t="s">
        <v>400</v>
      </c>
      <c r="J73" s="42">
        <f t="shared" si="10"/>
        <v>5.1611999999999998E-2</v>
      </c>
      <c r="K73" s="29"/>
    </row>
    <row r="74" spans="1:11" hidden="1" x14ac:dyDescent="0.35">
      <c r="A74" s="4" t="s">
        <v>420</v>
      </c>
      <c r="B74" s="4" t="s">
        <v>421</v>
      </c>
      <c r="C74" s="25" t="s">
        <v>440</v>
      </c>
      <c r="D74" s="25" t="s">
        <v>461</v>
      </c>
      <c r="E74" s="21">
        <v>10</v>
      </c>
      <c r="F74" s="29" t="s">
        <v>462</v>
      </c>
      <c r="G74" s="39">
        <f>SUMIFS(PAQUETE_PK!$G$2:$G$198,PAQUETE_PK!$C$2:$C$198,$C74)</f>
        <v>4.6919999999999996E-2</v>
      </c>
      <c r="H74" s="41">
        <v>0.4</v>
      </c>
      <c r="I74" s="29" t="s">
        <v>400</v>
      </c>
      <c r="J74" s="42">
        <f t="shared" si="10"/>
        <v>1.8768E-2</v>
      </c>
      <c r="K74" s="29"/>
    </row>
  </sheetData>
  <autoFilter ref="A1:K74" xr:uid="{00000000-0001-0000-0500-000000000000}">
    <filterColumn colId="1">
      <filters>
        <filter val="EDT-FUN-001"/>
      </filters>
    </filterColumn>
  </autoFilter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showGridLines="0" workbookViewId="0">
      <selection activeCell="D2" sqref="D2"/>
    </sheetView>
  </sheetViews>
  <sheetFormatPr baseColWidth="10" defaultColWidth="8.7265625" defaultRowHeight="14.5" x14ac:dyDescent="0.35"/>
  <cols>
    <col min="1" max="1" width="19" customWidth="1"/>
    <col min="2" max="2" width="34" customWidth="1"/>
    <col min="3" max="3" width="18" customWidth="1"/>
    <col min="4" max="5" width="16" customWidth="1"/>
    <col min="6" max="7" width="14" customWidth="1"/>
    <col min="8" max="8" width="24" customWidth="1"/>
  </cols>
  <sheetData>
    <row r="1" spans="1:8" ht="29" x14ac:dyDescent="0.35">
      <c r="A1" s="3" t="s">
        <v>98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  <c r="H1" s="3" t="s">
        <v>36</v>
      </c>
    </row>
    <row r="2" spans="1:8" x14ac:dyDescent="0.35">
      <c r="A2" s="6">
        <v>1</v>
      </c>
      <c r="B2" s="6" t="s">
        <v>143</v>
      </c>
      <c r="C2" s="6" t="s">
        <v>144</v>
      </c>
      <c r="D2" s="6" t="s">
        <v>26</v>
      </c>
      <c r="E2" s="7">
        <v>1</v>
      </c>
      <c r="F2" s="12" t="s">
        <v>145</v>
      </c>
      <c r="G2" s="13">
        <v>46106</v>
      </c>
      <c r="H2" s="6"/>
    </row>
    <row r="3" spans="1:8" x14ac:dyDescent="0.35">
      <c r="A3" s="6">
        <v>2</v>
      </c>
      <c r="B3" s="6" t="s">
        <v>146</v>
      </c>
      <c r="C3" s="6" t="s">
        <v>144</v>
      </c>
      <c r="D3" s="6" t="s">
        <v>26</v>
      </c>
      <c r="E3" s="7">
        <v>2</v>
      </c>
      <c r="F3" s="12" t="s">
        <v>145</v>
      </c>
      <c r="G3" s="13">
        <v>46106</v>
      </c>
      <c r="H3" s="6"/>
    </row>
    <row r="4" spans="1:8" x14ac:dyDescent="0.35">
      <c r="A4" s="6">
        <v>3</v>
      </c>
      <c r="B4" s="6" t="s">
        <v>147</v>
      </c>
      <c r="C4" s="6" t="s">
        <v>144</v>
      </c>
      <c r="D4" s="6" t="s">
        <v>26</v>
      </c>
      <c r="E4" s="7">
        <v>10</v>
      </c>
      <c r="F4" s="12" t="s">
        <v>145</v>
      </c>
      <c r="G4" s="13">
        <v>46106</v>
      </c>
      <c r="H4" s="6"/>
    </row>
    <row r="5" spans="1:8" x14ac:dyDescent="0.35">
      <c r="A5" s="6">
        <v>4</v>
      </c>
      <c r="B5" s="6" t="s">
        <v>148</v>
      </c>
      <c r="C5" s="6" t="s">
        <v>144</v>
      </c>
      <c r="D5" s="6" t="s">
        <v>26</v>
      </c>
      <c r="E5" s="7">
        <v>22</v>
      </c>
      <c r="F5" s="12" t="s">
        <v>145</v>
      </c>
      <c r="G5" s="13">
        <v>46106</v>
      </c>
      <c r="H5" s="6"/>
    </row>
    <row r="6" spans="1:8" x14ac:dyDescent="0.35">
      <c r="A6" s="6">
        <v>5</v>
      </c>
      <c r="B6" s="6" t="s">
        <v>149</v>
      </c>
      <c r="C6" s="6" t="s">
        <v>144</v>
      </c>
      <c r="D6" s="6" t="s">
        <v>26</v>
      </c>
      <c r="E6" s="7">
        <v>4</v>
      </c>
      <c r="F6" s="12" t="s">
        <v>145</v>
      </c>
      <c r="G6" s="13">
        <v>46106</v>
      </c>
      <c r="H6" s="6"/>
    </row>
    <row r="7" spans="1:8" x14ac:dyDescent="0.35">
      <c r="A7" s="6">
        <v>6</v>
      </c>
      <c r="B7" s="6" t="s">
        <v>150</v>
      </c>
      <c r="C7" s="6" t="s">
        <v>144</v>
      </c>
      <c r="D7" s="6" t="s">
        <v>26</v>
      </c>
      <c r="E7" s="7">
        <v>4.5</v>
      </c>
      <c r="F7" s="12" t="s">
        <v>145</v>
      </c>
      <c r="G7" s="13">
        <v>46106</v>
      </c>
      <c r="H7" s="6"/>
    </row>
    <row r="8" spans="1:8" x14ac:dyDescent="0.35">
      <c r="A8" s="6">
        <v>7</v>
      </c>
      <c r="B8" s="6" t="s">
        <v>151</v>
      </c>
      <c r="C8" s="6" t="s">
        <v>144</v>
      </c>
      <c r="D8" s="6" t="s">
        <v>26</v>
      </c>
      <c r="E8" s="7">
        <v>12</v>
      </c>
      <c r="F8" s="12" t="s">
        <v>145</v>
      </c>
      <c r="G8" s="13">
        <v>46106</v>
      </c>
      <c r="H8" s="6"/>
    </row>
    <row r="9" spans="1:8" x14ac:dyDescent="0.35">
      <c r="A9" s="6">
        <v>8</v>
      </c>
      <c r="B9" s="6" t="s">
        <v>152</v>
      </c>
      <c r="C9" s="6" t="s">
        <v>153</v>
      </c>
      <c r="D9" s="6" t="s">
        <v>154</v>
      </c>
      <c r="E9" s="7">
        <v>6</v>
      </c>
      <c r="F9" s="12" t="s">
        <v>145</v>
      </c>
      <c r="G9" s="13">
        <v>46106</v>
      </c>
      <c r="H9" s="6"/>
    </row>
    <row r="10" spans="1:8" x14ac:dyDescent="0.35">
      <c r="A10" s="6">
        <v>9</v>
      </c>
      <c r="B10" s="6" t="s">
        <v>155</v>
      </c>
      <c r="C10" s="6" t="s">
        <v>153</v>
      </c>
      <c r="D10" s="6" t="s">
        <v>154</v>
      </c>
      <c r="E10" s="7">
        <v>5</v>
      </c>
      <c r="F10" s="12" t="s">
        <v>145</v>
      </c>
      <c r="G10" s="13">
        <v>46106</v>
      </c>
      <c r="H10" s="6"/>
    </row>
    <row r="11" spans="1:8" x14ac:dyDescent="0.35">
      <c r="A11" s="6">
        <v>10</v>
      </c>
      <c r="B11" s="6" t="s">
        <v>156</v>
      </c>
      <c r="C11" s="6" t="s">
        <v>153</v>
      </c>
      <c r="D11" s="6" t="s">
        <v>154</v>
      </c>
      <c r="E11" s="7">
        <v>4</v>
      </c>
      <c r="F11" s="12" t="s">
        <v>145</v>
      </c>
      <c r="G11" s="13">
        <v>46106</v>
      </c>
      <c r="H11" s="6"/>
    </row>
    <row r="12" spans="1:8" x14ac:dyDescent="0.35">
      <c r="A12" s="6">
        <v>11</v>
      </c>
      <c r="B12" s="6" t="s">
        <v>157</v>
      </c>
      <c r="C12" s="6" t="s">
        <v>144</v>
      </c>
      <c r="D12" s="6" t="s">
        <v>26</v>
      </c>
      <c r="E12" s="7">
        <v>35</v>
      </c>
      <c r="F12" s="12" t="s">
        <v>145</v>
      </c>
      <c r="G12" s="13">
        <v>46106</v>
      </c>
      <c r="H12" s="6"/>
    </row>
    <row r="13" spans="1:8" x14ac:dyDescent="0.35">
      <c r="A13" s="6">
        <v>12</v>
      </c>
      <c r="B13" s="6" t="s">
        <v>158</v>
      </c>
      <c r="C13" s="6" t="s">
        <v>144</v>
      </c>
      <c r="D13" s="6" t="s">
        <v>26</v>
      </c>
      <c r="E13" s="7">
        <v>25</v>
      </c>
      <c r="F13" s="12" t="s">
        <v>145</v>
      </c>
      <c r="G13" s="13">
        <v>46106</v>
      </c>
      <c r="H13" s="6"/>
    </row>
    <row r="14" spans="1:8" x14ac:dyDescent="0.35">
      <c r="A14" s="6">
        <v>13</v>
      </c>
      <c r="B14" s="6" t="s">
        <v>159</v>
      </c>
      <c r="C14" s="6" t="s">
        <v>144</v>
      </c>
      <c r="D14" s="6" t="s">
        <v>26</v>
      </c>
      <c r="E14" s="7">
        <v>45</v>
      </c>
      <c r="F14" s="12" t="s">
        <v>145</v>
      </c>
      <c r="G14" s="13">
        <v>46106</v>
      </c>
      <c r="H14" s="6"/>
    </row>
    <row r="15" spans="1:8" x14ac:dyDescent="0.35">
      <c r="A15" s="6">
        <v>14</v>
      </c>
      <c r="B15" s="6" t="s">
        <v>160</v>
      </c>
      <c r="C15" s="6" t="s">
        <v>144</v>
      </c>
      <c r="D15" s="6" t="s">
        <v>26</v>
      </c>
      <c r="E15" s="7">
        <v>55</v>
      </c>
      <c r="F15" s="12" t="s">
        <v>145</v>
      </c>
      <c r="G15" s="13">
        <v>46106</v>
      </c>
      <c r="H15" s="6"/>
    </row>
    <row r="16" spans="1:8" x14ac:dyDescent="0.35">
      <c r="A16" s="6">
        <v>15</v>
      </c>
      <c r="B16" s="6" t="s">
        <v>161</v>
      </c>
      <c r="C16" s="6" t="s">
        <v>144</v>
      </c>
      <c r="D16" s="6" t="s">
        <v>26</v>
      </c>
      <c r="E16" s="7">
        <v>80</v>
      </c>
      <c r="F16" s="12" t="s">
        <v>145</v>
      </c>
      <c r="G16" s="13">
        <v>46106</v>
      </c>
      <c r="H16" s="6"/>
    </row>
    <row r="17" spans="1:8" x14ac:dyDescent="0.35">
      <c r="A17" s="6">
        <v>16</v>
      </c>
      <c r="B17" s="6" t="s">
        <v>162</v>
      </c>
      <c r="C17" s="6" t="s">
        <v>144</v>
      </c>
      <c r="D17" s="6" t="s">
        <v>26</v>
      </c>
      <c r="E17" s="7">
        <v>74</v>
      </c>
      <c r="F17" s="12" t="s">
        <v>145</v>
      </c>
      <c r="G17" s="13">
        <v>46106</v>
      </c>
      <c r="H17" s="6"/>
    </row>
    <row r="18" spans="1:8" x14ac:dyDescent="0.35">
      <c r="A18" s="6">
        <v>17</v>
      </c>
      <c r="B18" s="6" t="s">
        <v>163</v>
      </c>
      <c r="C18" s="6" t="s">
        <v>144</v>
      </c>
      <c r="D18" s="6" t="s">
        <v>26</v>
      </c>
      <c r="E18" s="7">
        <v>15</v>
      </c>
      <c r="F18" s="12" t="s">
        <v>145</v>
      </c>
      <c r="G18" s="13">
        <v>46106</v>
      </c>
      <c r="H18" s="6"/>
    </row>
    <row r="19" spans="1:8" x14ac:dyDescent="0.35">
      <c r="A19" s="6">
        <v>18</v>
      </c>
      <c r="B19" s="6" t="s">
        <v>164</v>
      </c>
      <c r="C19" s="6" t="s">
        <v>144</v>
      </c>
      <c r="D19" s="6" t="s">
        <v>43</v>
      </c>
      <c r="E19" s="7">
        <v>3</v>
      </c>
      <c r="F19" s="12" t="s">
        <v>145</v>
      </c>
      <c r="G19" s="13">
        <v>46106</v>
      </c>
      <c r="H19" s="6"/>
    </row>
    <row r="20" spans="1:8" x14ac:dyDescent="0.35">
      <c r="A20" s="6">
        <v>19</v>
      </c>
      <c r="B20" s="6" t="s">
        <v>165</v>
      </c>
      <c r="C20" s="6" t="s">
        <v>144</v>
      </c>
      <c r="D20" s="6" t="s">
        <v>43</v>
      </c>
      <c r="E20" s="7">
        <v>4</v>
      </c>
      <c r="F20" s="12" t="s">
        <v>145</v>
      </c>
      <c r="G20" s="13">
        <v>45742</v>
      </c>
      <c r="H20" s="6"/>
    </row>
    <row r="21" spans="1:8" x14ac:dyDescent="0.35">
      <c r="A21" s="6">
        <v>20</v>
      </c>
      <c r="B21" s="6" t="s">
        <v>166</v>
      </c>
      <c r="C21" s="6" t="s">
        <v>144</v>
      </c>
      <c r="D21" s="6" t="s">
        <v>43</v>
      </c>
      <c r="E21" s="7">
        <v>5</v>
      </c>
      <c r="F21" s="12" t="s">
        <v>145</v>
      </c>
      <c r="G21" s="13">
        <v>45743</v>
      </c>
      <c r="H21" s="6"/>
    </row>
    <row r="22" spans="1:8" x14ac:dyDescent="0.35">
      <c r="A22" s="6">
        <v>21</v>
      </c>
      <c r="B22" s="6" t="s">
        <v>207</v>
      </c>
      <c r="C22" s="6" t="s">
        <v>206</v>
      </c>
      <c r="D22" s="6" t="s">
        <v>154</v>
      </c>
      <c r="E22" s="7">
        <v>30</v>
      </c>
      <c r="F22" s="12" t="s">
        <v>145</v>
      </c>
      <c r="G22" s="13">
        <v>46198</v>
      </c>
      <c r="H22" s="6"/>
    </row>
    <row r="23" spans="1:8" x14ac:dyDescent="0.35">
      <c r="A23" s="29">
        <v>22</v>
      </c>
      <c r="B23" s="29" t="s">
        <v>264</v>
      </c>
      <c r="C23" s="29" t="s">
        <v>144</v>
      </c>
      <c r="D23" s="29" t="s">
        <v>26</v>
      </c>
      <c r="E23" s="30">
        <v>10</v>
      </c>
      <c r="F23" s="12" t="s">
        <v>145</v>
      </c>
      <c r="G23" s="13">
        <v>46198</v>
      </c>
      <c r="H23" s="6"/>
    </row>
    <row r="24" spans="1:8" x14ac:dyDescent="0.35">
      <c r="A24" s="29">
        <v>23</v>
      </c>
      <c r="B24" s="29" t="s">
        <v>274</v>
      </c>
      <c r="C24" s="29" t="s">
        <v>144</v>
      </c>
      <c r="D24" s="29" t="s">
        <v>26</v>
      </c>
      <c r="E24" s="30">
        <v>8</v>
      </c>
      <c r="F24" s="12" t="s">
        <v>145</v>
      </c>
      <c r="G24" s="13">
        <v>46198</v>
      </c>
      <c r="H24" s="6"/>
    </row>
    <row r="25" spans="1:8" x14ac:dyDescent="0.35">
      <c r="A25" s="29">
        <v>24</v>
      </c>
      <c r="B25" s="29" t="s">
        <v>272</v>
      </c>
      <c r="C25" s="29" t="s">
        <v>144</v>
      </c>
      <c r="D25" s="29" t="s">
        <v>26</v>
      </c>
      <c r="E25" s="30">
        <v>12</v>
      </c>
      <c r="F25" s="33" t="s">
        <v>145</v>
      </c>
      <c r="G25" s="13">
        <v>46198</v>
      </c>
      <c r="H25" s="6"/>
    </row>
    <row r="26" spans="1:8" x14ac:dyDescent="0.35">
      <c r="A26" s="29">
        <v>25</v>
      </c>
      <c r="B26" s="29" t="s">
        <v>273</v>
      </c>
      <c r="C26" s="29" t="s">
        <v>144</v>
      </c>
      <c r="D26" s="29" t="s">
        <v>26</v>
      </c>
      <c r="E26" s="30">
        <v>1</v>
      </c>
      <c r="F26" s="33" t="s">
        <v>145</v>
      </c>
      <c r="G26" s="13">
        <v>46198</v>
      </c>
      <c r="H26" s="6"/>
    </row>
    <row r="27" spans="1:8" x14ac:dyDescent="0.35">
      <c r="A27" s="29">
        <v>26</v>
      </c>
      <c r="B27" s="29" t="s">
        <v>286</v>
      </c>
      <c r="C27" s="29" t="s">
        <v>144</v>
      </c>
      <c r="D27" s="29" t="s">
        <v>26</v>
      </c>
      <c r="E27" s="30">
        <v>2</v>
      </c>
      <c r="F27" s="33" t="s">
        <v>145</v>
      </c>
      <c r="G27" s="13">
        <v>46198</v>
      </c>
      <c r="H27" s="6"/>
    </row>
    <row r="28" spans="1:8" x14ac:dyDescent="0.35">
      <c r="A28" s="29">
        <v>27</v>
      </c>
      <c r="B28" s="29" t="s">
        <v>287</v>
      </c>
      <c r="C28" s="29" t="s">
        <v>144</v>
      </c>
      <c r="D28" s="29" t="s">
        <v>26</v>
      </c>
      <c r="E28" s="30">
        <v>12</v>
      </c>
      <c r="F28" s="33" t="s">
        <v>145</v>
      </c>
      <c r="G28" s="13">
        <v>46198</v>
      </c>
      <c r="H28" s="6"/>
    </row>
    <row r="29" spans="1:8" x14ac:dyDescent="0.35">
      <c r="A29" s="29">
        <v>28</v>
      </c>
      <c r="B29" s="29" t="s">
        <v>288</v>
      </c>
      <c r="C29" s="29" t="s">
        <v>144</v>
      </c>
      <c r="D29" s="29" t="s">
        <v>43</v>
      </c>
      <c r="E29" s="30">
        <v>20</v>
      </c>
      <c r="F29" s="33" t="s">
        <v>145</v>
      </c>
      <c r="G29" s="13">
        <v>46198</v>
      </c>
      <c r="H29" s="6"/>
    </row>
    <row r="30" spans="1:8" x14ac:dyDescent="0.35">
      <c r="A30" s="29">
        <v>29</v>
      </c>
      <c r="B30" s="29" t="s">
        <v>388</v>
      </c>
      <c r="C30" s="29" t="s">
        <v>144</v>
      </c>
      <c r="D30" s="29" t="s">
        <v>348</v>
      </c>
      <c r="E30" s="30">
        <v>28</v>
      </c>
      <c r="F30" s="33" t="s">
        <v>145</v>
      </c>
      <c r="G30" s="13">
        <v>46106</v>
      </c>
      <c r="H30" s="6"/>
    </row>
    <row r="31" spans="1:8" x14ac:dyDescent="0.35">
      <c r="A31" s="29">
        <v>30</v>
      </c>
      <c r="B31" s="29" t="s">
        <v>389</v>
      </c>
      <c r="C31" s="29" t="s">
        <v>144</v>
      </c>
      <c r="D31" s="29" t="s">
        <v>348</v>
      </c>
      <c r="E31" s="30">
        <v>30</v>
      </c>
      <c r="F31" s="33" t="s">
        <v>145</v>
      </c>
      <c r="G31" s="13">
        <v>46106</v>
      </c>
      <c r="H31" s="6"/>
    </row>
    <row r="32" spans="1:8" x14ac:dyDescent="0.35">
      <c r="A32" s="29">
        <v>31</v>
      </c>
      <c r="B32" s="29" t="s">
        <v>390</v>
      </c>
      <c r="C32" s="29" t="s">
        <v>144</v>
      </c>
      <c r="D32" s="29" t="s">
        <v>391</v>
      </c>
      <c r="E32" s="30">
        <v>12</v>
      </c>
      <c r="F32" s="33" t="s">
        <v>145</v>
      </c>
      <c r="G32" s="13">
        <v>46106</v>
      </c>
      <c r="H32" s="6"/>
    </row>
    <row r="33" spans="1:8" x14ac:dyDescent="0.35">
      <c r="A33" s="29">
        <v>32</v>
      </c>
      <c r="B33" s="29" t="s">
        <v>402</v>
      </c>
      <c r="C33" s="29" t="s">
        <v>144</v>
      </c>
      <c r="D33" s="29" t="s">
        <v>26</v>
      </c>
      <c r="E33" s="30">
        <v>8.6</v>
      </c>
      <c r="F33" s="40" t="s">
        <v>145</v>
      </c>
      <c r="G33" s="13">
        <v>46103</v>
      </c>
      <c r="H33" s="6"/>
    </row>
    <row r="34" spans="1:8" x14ac:dyDescent="0.35">
      <c r="A34" s="29">
        <v>33</v>
      </c>
      <c r="B34" s="29" t="s">
        <v>403</v>
      </c>
      <c r="C34" s="29" t="s">
        <v>144</v>
      </c>
      <c r="D34" s="29" t="s">
        <v>404</v>
      </c>
      <c r="E34" s="30">
        <v>3.56</v>
      </c>
      <c r="F34" s="40" t="s">
        <v>145</v>
      </c>
      <c r="G34" s="13">
        <v>49756</v>
      </c>
      <c r="H34" s="6"/>
    </row>
    <row r="35" spans="1:8" x14ac:dyDescent="0.35">
      <c r="A35" s="29">
        <v>34</v>
      </c>
      <c r="B35" s="29" t="s">
        <v>448</v>
      </c>
      <c r="C35" s="29" t="s">
        <v>144</v>
      </c>
      <c r="D35" s="29" t="s">
        <v>26</v>
      </c>
      <c r="E35" s="30">
        <v>1.02</v>
      </c>
      <c r="F35" s="40" t="s">
        <v>145</v>
      </c>
      <c r="G35" s="13">
        <v>46102</v>
      </c>
      <c r="H35" s="6"/>
    </row>
    <row r="36" spans="1:8" x14ac:dyDescent="0.35">
      <c r="A36" s="29">
        <v>35</v>
      </c>
      <c r="B36" s="29" t="s">
        <v>450</v>
      </c>
      <c r="C36" s="29" t="s">
        <v>144</v>
      </c>
      <c r="D36" s="29" t="s">
        <v>26</v>
      </c>
      <c r="E36" s="30">
        <v>5.8</v>
      </c>
      <c r="F36" s="40" t="s">
        <v>145</v>
      </c>
      <c r="G36" s="13">
        <v>46102</v>
      </c>
      <c r="H36" s="6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K65"/>
  <sheetViews>
    <sheetView showGridLines="0" topLeftCell="D1" workbookViewId="0">
      <selection activeCell="H44" sqref="H44:H60"/>
    </sheetView>
  </sheetViews>
  <sheetFormatPr baseColWidth="10" defaultColWidth="8.7265625" defaultRowHeight="14.5" x14ac:dyDescent="0.35"/>
  <cols>
    <col min="1" max="1" width="16" customWidth="1"/>
    <col min="2" max="2" width="14" customWidth="1"/>
    <col min="3" max="3" width="18" customWidth="1"/>
    <col min="4" max="4" width="18.453125" customWidth="1"/>
    <col min="5" max="5" width="16" customWidth="1"/>
    <col min="6" max="6" width="30" customWidth="1"/>
    <col min="7" max="7" width="18.26953125" customWidth="1"/>
    <col min="8" max="8" width="14" customWidth="1"/>
    <col min="9" max="9" width="18.453125" customWidth="1"/>
    <col min="10" max="10" width="16" customWidth="1"/>
    <col min="11" max="11" width="12" customWidth="1"/>
  </cols>
  <sheetData>
    <row r="1" spans="1:11" ht="22.5" customHeight="1" x14ac:dyDescent="0.35">
      <c r="A1" s="3" t="s">
        <v>97</v>
      </c>
      <c r="B1" s="3" t="s">
        <v>12</v>
      </c>
      <c r="C1" s="3" t="s">
        <v>323</v>
      </c>
      <c r="D1" s="3" t="s">
        <v>98</v>
      </c>
      <c r="E1" s="3" t="s">
        <v>138</v>
      </c>
      <c r="F1" s="3" t="s">
        <v>167</v>
      </c>
      <c r="G1" s="3" t="s">
        <v>139</v>
      </c>
      <c r="H1" s="3" t="s">
        <v>102</v>
      </c>
      <c r="I1" s="3" t="s">
        <v>140</v>
      </c>
      <c r="J1" s="3" t="s">
        <v>168</v>
      </c>
      <c r="K1" s="3" t="s">
        <v>141</v>
      </c>
    </row>
    <row r="2" spans="1:11" hidden="1" x14ac:dyDescent="0.35">
      <c r="A2" s="14" t="str">
        <f>RENDIMIENTOS_BASE!D2</f>
        <v>APU-AGUA-001</v>
      </c>
      <c r="B2" s="14" t="str">
        <f>RENDIMIENTOS_BASE!B2</f>
        <v>EDT-PRE-001</v>
      </c>
      <c r="C2" s="14" t="str">
        <f>RENDIMIENTOS_BASE!C2</f>
        <v>PK-AGUA-001-001</v>
      </c>
      <c r="D2" s="14">
        <f>RENDIMIENTOS_BASE!E2</f>
        <v>1</v>
      </c>
      <c r="E2" s="8" t="str">
        <f>VLOOKUP(D2,RECURSOS_PRECIOS!$A$2:$H$201,3,FALSE)</f>
        <v>Material</v>
      </c>
      <c r="F2" s="8" t="str">
        <f>VLOOKUP(D2,RECURSOS_PRECIOS!$A$2:$H$201,2,FALSE)</f>
        <v>Unión de Tope 1/2" PVC</v>
      </c>
      <c r="G2" s="8" t="str">
        <f>VLOOKUP(D2,RECURSOS_PRECIOS!$A$2:$H$201,4,FALSE)</f>
        <v>un</v>
      </c>
      <c r="H2" s="10">
        <f>RENDIMIENTOS_BASE!J2</f>
        <v>1</v>
      </c>
      <c r="I2" s="10">
        <f>VLOOKUP(D2,RECURSOS_PRECIOS!$A$2:$H$201,5,FALSE)</f>
        <v>1</v>
      </c>
      <c r="J2" s="10">
        <f t="shared" ref="J2:J20" si="0">H2*I2</f>
        <v>1</v>
      </c>
      <c r="K2" s="8" t="str">
        <f>VLOOKUP(D2,RECURSOS_PRECIOS!$A$2:$H$201,6,FALSE)</f>
        <v>mercado</v>
      </c>
    </row>
    <row r="3" spans="1:11" hidden="1" x14ac:dyDescent="0.35">
      <c r="A3" s="14" t="str">
        <f>RENDIMIENTOS_BASE!D3</f>
        <v>APU-AGUA-001</v>
      </c>
      <c r="B3" s="14" t="str">
        <f>RENDIMIENTOS_BASE!B3</f>
        <v>EDT-PRE-001</v>
      </c>
      <c r="C3" s="14" t="str">
        <f>RENDIMIENTOS_BASE!C3</f>
        <v>PK-AGUA-001-001</v>
      </c>
      <c r="D3" s="14">
        <f>RENDIMIENTOS_BASE!E3</f>
        <v>2</v>
      </c>
      <c r="E3" s="8" t="str">
        <f>VLOOKUP(D3,RECURSOS_PRECIOS!$A$2:$H$201,3,FALSE)</f>
        <v>Material</v>
      </c>
      <c r="F3" s="8" t="str">
        <f>VLOOKUP(D3,RECURSOS_PRECIOS!$A$2:$H$201,2,FALSE)</f>
        <v>Valvula Bola PVC 1/2"</v>
      </c>
      <c r="G3" s="8" t="str">
        <f>VLOOKUP(D3,RECURSOS_PRECIOS!$A$2:$H$201,4,FALSE)</f>
        <v>un</v>
      </c>
      <c r="H3" s="10">
        <f>RENDIMIENTOS_BASE!J3</f>
        <v>1</v>
      </c>
      <c r="I3" s="10">
        <f>VLOOKUP(D3,RECURSOS_PRECIOS!$A$2:$H$201,5,FALSE)</f>
        <v>2</v>
      </c>
      <c r="J3" s="10">
        <f t="shared" si="0"/>
        <v>2</v>
      </c>
      <c r="K3" s="8" t="str">
        <f>VLOOKUP(D3,RECURSOS_PRECIOS!$A$2:$H$201,6,FALSE)</f>
        <v>mercado</v>
      </c>
    </row>
    <row r="4" spans="1:11" hidden="1" x14ac:dyDescent="0.35">
      <c r="A4" s="14" t="str">
        <f>RENDIMIENTOS_BASE!D4</f>
        <v>APU-AGUA-001</v>
      </c>
      <c r="B4" s="14" t="str">
        <f>RENDIMIENTOS_BASE!B4</f>
        <v>EDT-PRE-001</v>
      </c>
      <c r="C4" s="14" t="str">
        <f>RENDIMIENTOS_BASE!C4</f>
        <v>PK-AGUA-001-002</v>
      </c>
      <c r="D4" s="14">
        <f>RENDIMIENTOS_BASE!E4</f>
        <v>3</v>
      </c>
      <c r="E4" s="8" t="str">
        <f>VLOOKUP(D4,RECURSOS_PRECIOS!$A$2:$H$201,3,FALSE)</f>
        <v>Material</v>
      </c>
      <c r="F4" s="8" t="str">
        <f>VLOOKUP(D4,RECURSOS_PRECIOS!$A$2:$H$201,2,FALSE)</f>
        <v>Tubo PVC 1/2"</v>
      </c>
      <c r="G4" s="8" t="str">
        <f>VLOOKUP(D4,RECURSOS_PRECIOS!$A$2:$H$201,4,FALSE)</f>
        <v>un</v>
      </c>
      <c r="H4" s="10">
        <f>RENDIMIENTOS_BASE!J4</f>
        <v>3.3333333333333344</v>
      </c>
      <c r="I4" s="10">
        <f>VLOOKUP(D4,RECURSOS_PRECIOS!$A$2:$H$201,5,FALSE)</f>
        <v>10</v>
      </c>
      <c r="J4" s="10">
        <f t="shared" si="0"/>
        <v>33.333333333333343</v>
      </c>
      <c r="K4" s="8" t="str">
        <f>VLOOKUP(D4,RECURSOS_PRECIOS!$A$2:$H$201,6,FALSE)</f>
        <v>mercado</v>
      </c>
    </row>
    <row r="5" spans="1:11" hidden="1" x14ac:dyDescent="0.35">
      <c r="A5" s="14" t="str">
        <f>RENDIMIENTOS_BASE!D5</f>
        <v>APU-AGUA-001</v>
      </c>
      <c r="B5" s="14" t="str">
        <f>RENDIMIENTOS_BASE!B5</f>
        <v>EDT-PRE-001</v>
      </c>
      <c r="C5" s="14" t="str">
        <f>RENDIMIENTOS_BASE!C5</f>
        <v>PK-AGUA-001-003</v>
      </c>
      <c r="D5" s="14">
        <f>RENDIMIENTOS_BASE!E5</f>
        <v>4</v>
      </c>
      <c r="E5" s="8" t="str">
        <f>VLOOKUP(D5,RECURSOS_PRECIOS!$A$2:$H$201,3,FALSE)</f>
        <v>Material</v>
      </c>
      <c r="F5" s="8" t="str">
        <f>VLOOKUP(D5,RECURSOS_PRECIOS!$A$2:$H$201,2,FALSE)</f>
        <v>Llave de Chorro</v>
      </c>
      <c r="G5" s="8" t="str">
        <f>VLOOKUP(D5,RECURSOS_PRECIOS!$A$2:$H$201,4,FALSE)</f>
        <v>un</v>
      </c>
      <c r="H5" s="10">
        <f>RENDIMIENTOS_BASE!J5</f>
        <v>3</v>
      </c>
      <c r="I5" s="10">
        <f>VLOOKUP(D5,RECURSOS_PRECIOS!$A$2:$H$201,5,FALSE)</f>
        <v>22</v>
      </c>
      <c r="J5" s="10">
        <f t="shared" si="0"/>
        <v>66</v>
      </c>
      <c r="K5" s="8" t="str">
        <f>VLOOKUP(D5,RECURSOS_PRECIOS!$A$2:$H$201,6,FALSE)</f>
        <v>mercado</v>
      </c>
    </row>
    <row r="6" spans="1:11" hidden="1" x14ac:dyDescent="0.35">
      <c r="A6" s="14" t="str">
        <f>RENDIMIENTOS_BASE!D6</f>
        <v>APU-AGUA-001</v>
      </c>
      <c r="B6" s="14" t="str">
        <f>RENDIMIENTOS_BASE!B6</f>
        <v>EDT-PRE-001</v>
      </c>
      <c r="C6" s="14" t="str">
        <f>RENDIMIENTOS_BASE!C6</f>
        <v>PK-AGUA-001-004</v>
      </c>
      <c r="D6" s="14">
        <f>RENDIMIENTOS_BASE!E6</f>
        <v>5</v>
      </c>
      <c r="E6" s="8" t="str">
        <f>VLOOKUP(D6,RECURSOS_PRECIOS!$A$2:$H$201,3,FALSE)</f>
        <v>Material</v>
      </c>
      <c r="F6" s="8" t="str">
        <f>VLOOKUP(D6,RECURSOS_PRECIOS!$A$2:$H$201,2,FALSE)</f>
        <v>Codo 90° 1/2" PVC</v>
      </c>
      <c r="G6" s="8" t="str">
        <f>VLOOKUP(D6,RECURSOS_PRECIOS!$A$2:$H$201,4,FALSE)</f>
        <v>un</v>
      </c>
      <c r="H6" s="10">
        <f>RENDIMIENTOS_BASE!J6</f>
        <v>6.3</v>
      </c>
      <c r="I6" s="10">
        <f>VLOOKUP(D6,RECURSOS_PRECIOS!$A$2:$H$201,5,FALSE)</f>
        <v>4</v>
      </c>
      <c r="J6" s="10">
        <f t="shared" si="0"/>
        <v>25.2</v>
      </c>
      <c r="K6" s="8" t="str">
        <f>VLOOKUP(D6,RECURSOS_PRECIOS!$A$2:$H$201,6,FALSE)</f>
        <v>mercado</v>
      </c>
    </row>
    <row r="7" spans="1:11" hidden="1" x14ac:dyDescent="0.35">
      <c r="A7" s="14" t="str">
        <f>RENDIMIENTOS_BASE!D7</f>
        <v>APU-AGUA-001</v>
      </c>
      <c r="B7" s="14" t="str">
        <f>RENDIMIENTOS_BASE!B7</f>
        <v>EDT-PRE-001</v>
      </c>
      <c r="C7" s="14" t="str">
        <f>RENDIMIENTOS_BASE!C7</f>
        <v>PK-AGUA-001-004</v>
      </c>
      <c r="D7" s="14">
        <f>RENDIMIENTOS_BASE!E7</f>
        <v>6</v>
      </c>
      <c r="E7" s="8" t="str">
        <f>VLOOKUP(D7,RECURSOS_PRECIOS!$A$2:$H$201,3,FALSE)</f>
        <v>Material</v>
      </c>
      <c r="F7" s="8" t="str">
        <f>VLOOKUP(D7,RECURSOS_PRECIOS!$A$2:$H$201,2,FALSE)</f>
        <v>Tee 1/2" PVC</v>
      </c>
      <c r="G7" s="8" t="str">
        <f>VLOOKUP(D7,RECURSOS_PRECIOS!$A$2:$H$201,4,FALSE)</f>
        <v>un</v>
      </c>
      <c r="H7" s="10">
        <f>RENDIMIENTOS_BASE!J7</f>
        <v>2.6999999999999997</v>
      </c>
      <c r="I7" s="10">
        <f>VLOOKUP(D7,RECURSOS_PRECIOS!$A$2:$H$201,5,FALSE)</f>
        <v>4.5</v>
      </c>
      <c r="J7" s="10">
        <f t="shared" si="0"/>
        <v>12.149999999999999</v>
      </c>
      <c r="K7" s="8" t="str">
        <f>VLOOKUP(D7,RECURSOS_PRECIOS!$A$2:$H$201,6,FALSE)</f>
        <v>mercado</v>
      </c>
    </row>
    <row r="8" spans="1:11" hidden="1" x14ac:dyDescent="0.35">
      <c r="A8" s="14" t="str">
        <f>RENDIMIENTOS_BASE!D8</f>
        <v>APU-AGUA-001</v>
      </c>
      <c r="B8" s="14" t="str">
        <f>RENDIMIENTOS_BASE!B8</f>
        <v>EDT-PRE-001</v>
      </c>
      <c r="C8" s="14" t="str">
        <f>RENDIMIENTOS_BASE!C8</f>
        <v>PK-AGUA-001-005</v>
      </c>
      <c r="D8" s="14">
        <f>RENDIMIENTOS_BASE!E8</f>
        <v>7</v>
      </c>
      <c r="E8" s="8" t="str">
        <f>VLOOKUP(D8,RECURSOS_PRECIOS!$A$2:$H$201,3,FALSE)</f>
        <v>Material</v>
      </c>
      <c r="F8" s="8" t="str">
        <f>VLOOKUP(D8,RECURSOS_PRECIOS!$A$2:$H$201,2,FALSE)</f>
        <v>Valvula de Control</v>
      </c>
      <c r="G8" s="8" t="str">
        <f>VLOOKUP(D8,RECURSOS_PRECIOS!$A$2:$H$201,4,FALSE)</f>
        <v>un</v>
      </c>
      <c r="H8" s="10">
        <f>RENDIMIENTOS_BASE!J8</f>
        <v>1</v>
      </c>
      <c r="I8" s="10">
        <f>VLOOKUP(D8,RECURSOS_PRECIOS!$A$2:$H$201,5,FALSE)</f>
        <v>12</v>
      </c>
      <c r="J8" s="10">
        <f t="shared" si="0"/>
        <v>12</v>
      </c>
      <c r="K8" s="8" t="str">
        <f>VLOOKUP(D8,RECURSOS_PRECIOS!$A$2:$H$201,6,FALSE)</f>
        <v>mercado</v>
      </c>
    </row>
    <row r="9" spans="1:11" hidden="1" x14ac:dyDescent="0.35">
      <c r="A9" s="14" t="str">
        <f>RENDIMIENTOS_BASE!D9</f>
        <v>APU-AGUA-001</v>
      </c>
      <c r="B9" s="14" t="str">
        <f>RENDIMIENTOS_BASE!B9</f>
        <v>EDT-PRE-001</v>
      </c>
      <c r="C9" s="14" t="str">
        <f>RENDIMIENTOS_BASE!C9</f>
        <v>PK-AGUA-001-001</v>
      </c>
      <c r="D9" s="14">
        <f>RENDIMIENTOS_BASE!E9</f>
        <v>8</v>
      </c>
      <c r="E9" s="8" t="str">
        <f>VLOOKUP(D9,RECURSOS_PRECIOS!$A$2:$H$201,3,FALSE)</f>
        <v>Mano Obra</v>
      </c>
      <c r="F9" s="8" t="str">
        <f>VLOOKUP(D9,RECURSOS_PRECIOS!$A$2:$H$201,2,FALSE)</f>
        <v>Operario</v>
      </c>
      <c r="G9" s="8" t="str">
        <f>VLOOKUP(D9,RECURSOS_PRECIOS!$A$2:$H$201,4,FALSE)</f>
        <v>hr</v>
      </c>
      <c r="H9" s="10">
        <f>RENDIMIENTOS_BASE!J9</f>
        <v>4.5</v>
      </c>
      <c r="I9" s="10">
        <f>VLOOKUP(D9,RECURSOS_PRECIOS!$A$2:$H$201,5,FALSE)</f>
        <v>6</v>
      </c>
      <c r="J9" s="10">
        <f t="shared" si="0"/>
        <v>27</v>
      </c>
      <c r="K9" s="8" t="str">
        <f>VLOOKUP(D9,RECURSOS_PRECIOS!$A$2:$H$201,6,FALSE)</f>
        <v>mercado</v>
      </c>
    </row>
    <row r="10" spans="1:11" hidden="1" x14ac:dyDescent="0.35">
      <c r="A10" s="14" t="str">
        <f>RENDIMIENTOS_BASE!D10</f>
        <v>APU-AGUA-001</v>
      </c>
      <c r="B10" s="14" t="str">
        <f>RENDIMIENTOS_BASE!B10</f>
        <v>EDT-PRE-001</v>
      </c>
      <c r="C10" s="14" t="str">
        <f>RENDIMIENTOS_BASE!C10</f>
        <v>PK-AGUA-001-001</v>
      </c>
      <c r="D10" s="14">
        <f>RENDIMIENTOS_BASE!E10</f>
        <v>10</v>
      </c>
      <c r="E10" s="8" t="str">
        <f>VLOOKUP(D10,RECURSOS_PRECIOS!$A$2:$H$201,3,FALSE)</f>
        <v>Mano Obra</v>
      </c>
      <c r="F10" s="8" t="str">
        <f>VLOOKUP(D10,RECURSOS_PRECIOS!$A$2:$H$201,2,FALSE)</f>
        <v>Peon</v>
      </c>
      <c r="G10" s="8" t="str">
        <f>VLOOKUP(D10,RECURSOS_PRECIOS!$A$2:$H$201,4,FALSE)</f>
        <v>hr</v>
      </c>
      <c r="H10" s="10">
        <f>RENDIMIENTOS_BASE!J10</f>
        <v>4.5</v>
      </c>
      <c r="I10" s="10">
        <f>VLOOKUP(D10,RECURSOS_PRECIOS!$A$2:$H$201,5,FALSE)</f>
        <v>4</v>
      </c>
      <c r="J10" s="10">
        <f t="shared" si="0"/>
        <v>18</v>
      </c>
      <c r="K10" s="8" t="str">
        <f>VLOOKUP(D10,RECURSOS_PRECIOS!$A$2:$H$201,6,FALSE)</f>
        <v>mercado</v>
      </c>
    </row>
    <row r="11" spans="1:11" hidden="1" x14ac:dyDescent="0.35">
      <c r="A11" s="14" t="str">
        <f>RENDIMIENTOS_BASE!D11</f>
        <v>APU-ACOELE-001</v>
      </c>
      <c r="B11" s="14" t="str">
        <f>RENDIMIENTOS_BASE!B11</f>
        <v>EDT-PRE-002</v>
      </c>
      <c r="C11" s="14" t="str">
        <f>RENDIMIENTOS_BASE!C11</f>
        <v>PK-ACOELE-001-001</v>
      </c>
      <c r="D11" s="14">
        <f>RENDIMIENTOS_BASE!E11</f>
        <v>11</v>
      </c>
      <c r="E11" s="8" t="str">
        <f>VLOOKUP(D11,RECURSOS_PRECIOS!$A$2:$H$201,3,FALSE)</f>
        <v>Material</v>
      </c>
      <c r="F11" s="8" t="str">
        <f>VLOOKUP(D11,RECURSOS_PRECIOS!$A$2:$H$201,2,FALSE)</f>
        <v>Conduleta Botagua 1 1/2"</v>
      </c>
      <c r="G11" s="8" t="str">
        <f>VLOOKUP(D11,RECURSOS_PRECIOS!$A$2:$H$201,4,FALSE)</f>
        <v>un</v>
      </c>
      <c r="H11" s="10">
        <f>RENDIMIENTOS_BASE!J11</f>
        <v>1</v>
      </c>
      <c r="I11" s="10">
        <f>VLOOKUP(D11,RECURSOS_PRECIOS!$A$2:$H$201,5,FALSE)</f>
        <v>35</v>
      </c>
      <c r="J11" s="10">
        <f t="shared" si="0"/>
        <v>35</v>
      </c>
      <c r="K11" s="8" t="str">
        <f>VLOOKUP(D11,RECURSOS_PRECIOS!$A$2:$H$201,6,FALSE)</f>
        <v>mercado</v>
      </c>
    </row>
    <row r="12" spans="1:11" hidden="1" x14ac:dyDescent="0.35">
      <c r="A12" s="14" t="str">
        <f>RENDIMIENTOS_BASE!D12</f>
        <v>APU-ACOELE-001</v>
      </c>
      <c r="B12" s="14" t="str">
        <f>RENDIMIENTOS_BASE!B12</f>
        <v>EDT-PRE-002</v>
      </c>
      <c r="C12" s="14" t="str">
        <f>RENDIMIENTOS_BASE!C12</f>
        <v>PK-ACOELE-001-001</v>
      </c>
      <c r="D12" s="14">
        <f>RENDIMIENTOS_BASE!E12</f>
        <v>12</v>
      </c>
      <c r="E12" s="8" t="str">
        <f>VLOOKUP(D12,RECURSOS_PRECIOS!$A$2:$H$201,3,FALSE)</f>
        <v>Material</v>
      </c>
      <c r="F12" s="8" t="str">
        <f>VLOOKUP(D12,RECURSOS_PRECIOS!$A$2:$H$201,2,FALSE)</f>
        <v>Tubo HG 1 1/2"</v>
      </c>
      <c r="G12" s="8" t="str">
        <f>VLOOKUP(D12,RECURSOS_PRECIOS!$A$2:$H$201,4,FALSE)</f>
        <v>un</v>
      </c>
      <c r="H12" s="10">
        <f>RENDIMIENTOS_BASE!J12</f>
        <v>1</v>
      </c>
      <c r="I12" s="10">
        <f>VLOOKUP(D12,RECURSOS_PRECIOS!$A$2:$H$201,5,FALSE)</f>
        <v>25</v>
      </c>
      <c r="J12" s="10">
        <f t="shared" si="0"/>
        <v>25</v>
      </c>
      <c r="K12" s="8" t="str">
        <f>VLOOKUP(D12,RECURSOS_PRECIOS!$A$2:$H$201,6,FALSE)</f>
        <v>mercado</v>
      </c>
    </row>
    <row r="13" spans="1:11" hidden="1" x14ac:dyDescent="0.35">
      <c r="A13" s="14" t="str">
        <f>RENDIMIENTOS_BASE!D13</f>
        <v>APU-ACOELE-001</v>
      </c>
      <c r="B13" s="14" t="str">
        <f>RENDIMIENTOS_BASE!B13</f>
        <v>EDT-PRE-002</v>
      </c>
      <c r="C13" s="14" t="str">
        <f>RENDIMIENTOS_BASE!C13</f>
        <v>PK-ACOELE-001-001</v>
      </c>
      <c r="D13" s="14">
        <f>RENDIMIENTOS_BASE!E13</f>
        <v>13</v>
      </c>
      <c r="E13" s="8" t="str">
        <f>VLOOKUP(D13,RECURSOS_PRECIOS!$A$2:$H$201,3,FALSE)</f>
        <v>Material</v>
      </c>
      <c r="F13" s="8" t="str">
        <f>VLOOKUP(D13,RECURSOS_PRECIOS!$A$2:$H$201,2,FALSE)</f>
        <v>Base de Medidor</v>
      </c>
      <c r="G13" s="8" t="str">
        <f>VLOOKUP(D13,RECURSOS_PRECIOS!$A$2:$H$201,4,FALSE)</f>
        <v>un</v>
      </c>
      <c r="H13" s="10">
        <f>RENDIMIENTOS_BASE!J13</f>
        <v>1</v>
      </c>
      <c r="I13" s="10">
        <f>VLOOKUP(D13,RECURSOS_PRECIOS!$A$2:$H$201,5,FALSE)</f>
        <v>45</v>
      </c>
      <c r="J13" s="10">
        <f t="shared" si="0"/>
        <v>45</v>
      </c>
      <c r="K13" s="8" t="str">
        <f>VLOOKUP(D13,RECURSOS_PRECIOS!$A$2:$H$201,6,FALSE)</f>
        <v>mercado</v>
      </c>
    </row>
    <row r="14" spans="1:11" hidden="1" x14ac:dyDescent="0.35">
      <c r="A14" s="14" t="str">
        <f>RENDIMIENTOS_BASE!D14</f>
        <v>APU-ACOELE-001</v>
      </c>
      <c r="B14" s="14" t="str">
        <f>RENDIMIENTOS_BASE!B14</f>
        <v>EDT-PRE-002</v>
      </c>
      <c r="C14" s="14" t="str">
        <f>RENDIMIENTOS_BASE!C14</f>
        <v>PK-ACOELE-001-001</v>
      </c>
      <c r="D14" s="14">
        <f>RENDIMIENTOS_BASE!E14</f>
        <v>14</v>
      </c>
      <c r="E14" s="8" t="str">
        <f>VLOOKUP(D14,RECURSOS_PRECIOS!$A$2:$H$201,3,FALSE)</f>
        <v>Material</v>
      </c>
      <c r="F14" s="8" t="str">
        <f>VLOOKUP(D14,RECURSOS_PRECIOS!$A$2:$H$201,2,FALSE)</f>
        <v xml:space="preserve">Tablero Principal 1 Espacio </v>
      </c>
      <c r="G14" s="8" t="str">
        <f>VLOOKUP(D14,RECURSOS_PRECIOS!$A$2:$H$201,4,FALSE)</f>
        <v>un</v>
      </c>
      <c r="H14" s="10">
        <f>RENDIMIENTOS_BASE!J14</f>
        <v>1</v>
      </c>
      <c r="I14" s="10">
        <f>VLOOKUP(D14,RECURSOS_PRECIOS!$A$2:$H$201,5,FALSE)</f>
        <v>55</v>
      </c>
      <c r="J14" s="10">
        <f t="shared" si="0"/>
        <v>55</v>
      </c>
      <c r="K14" s="8" t="str">
        <f>VLOOKUP(D14,RECURSOS_PRECIOS!$A$2:$H$201,6,FALSE)</f>
        <v>mercado</v>
      </c>
    </row>
    <row r="15" spans="1:11" hidden="1" x14ac:dyDescent="0.35">
      <c r="A15" s="14" t="str">
        <f>RENDIMIENTOS_BASE!D15</f>
        <v>APU-ACOELE-001</v>
      </c>
      <c r="B15" s="14" t="str">
        <f>RENDIMIENTOS_BASE!B15</f>
        <v>EDT-PRE-002</v>
      </c>
      <c r="C15" s="14" t="str">
        <f>RENDIMIENTOS_BASE!C15</f>
        <v>PK-ACOELE-001-001</v>
      </c>
      <c r="D15" s="14">
        <f>RENDIMIENTOS_BASE!E15</f>
        <v>15</v>
      </c>
      <c r="E15" s="8" t="str">
        <f>VLOOKUP(D15,RECURSOS_PRECIOS!$A$2:$H$201,3,FALSE)</f>
        <v>Material</v>
      </c>
      <c r="F15" s="8" t="str">
        <f>VLOOKUP(D15,RECURSOS_PRECIOS!$A$2:$H$201,2,FALSE)</f>
        <v>Breaker Principal 2X100</v>
      </c>
      <c r="G15" s="8" t="str">
        <f>VLOOKUP(D15,RECURSOS_PRECIOS!$A$2:$H$201,4,FALSE)</f>
        <v>un</v>
      </c>
      <c r="H15" s="10">
        <f>RENDIMIENTOS_BASE!J15</f>
        <v>1</v>
      </c>
      <c r="I15" s="10">
        <f>VLOOKUP(D15,RECURSOS_PRECIOS!$A$2:$H$201,5,FALSE)</f>
        <v>80</v>
      </c>
      <c r="J15" s="10">
        <f t="shared" si="0"/>
        <v>80</v>
      </c>
      <c r="K15" s="8" t="str">
        <f>VLOOKUP(D15,RECURSOS_PRECIOS!$A$2:$H$201,6,FALSE)</f>
        <v>mercado</v>
      </c>
    </row>
    <row r="16" spans="1:11" hidden="1" x14ac:dyDescent="0.35">
      <c r="A16" s="14" t="str">
        <f>RENDIMIENTOS_BASE!D16</f>
        <v>APU-ACOELE-001</v>
      </c>
      <c r="B16" s="14" t="str">
        <f>RENDIMIENTOS_BASE!B16</f>
        <v>EDT-PRE-002</v>
      </c>
      <c r="C16" s="14" t="str">
        <f>RENDIMIENTOS_BASE!C16</f>
        <v>PK-ACOELE-001-001</v>
      </c>
      <c r="D16" s="14">
        <f>RENDIMIENTOS_BASE!E16</f>
        <v>16</v>
      </c>
      <c r="E16" s="8" t="str">
        <f>VLOOKUP(D16,RECURSOS_PRECIOS!$A$2:$H$201,3,FALSE)</f>
        <v>Material</v>
      </c>
      <c r="F16" s="8" t="str">
        <f>VLOOKUP(D16,RECURSOS_PRECIOS!$A$2:$H$201,2,FALSE)</f>
        <v>Barra de Tierra Cobre</v>
      </c>
      <c r="G16" s="8" t="str">
        <f>VLOOKUP(D16,RECURSOS_PRECIOS!$A$2:$H$201,4,FALSE)</f>
        <v>un</v>
      </c>
      <c r="H16" s="10">
        <f>RENDIMIENTOS_BASE!J16</f>
        <v>1</v>
      </c>
      <c r="I16" s="10">
        <f>VLOOKUP(D16,RECURSOS_PRECIOS!$A$2:$H$201,5,FALSE)</f>
        <v>74</v>
      </c>
      <c r="J16" s="10">
        <f t="shared" si="0"/>
        <v>74</v>
      </c>
      <c r="K16" s="8" t="str">
        <f>VLOOKUP(D16,RECURSOS_PRECIOS!$A$2:$H$201,6,FALSE)</f>
        <v>mercado</v>
      </c>
    </row>
    <row r="17" spans="1:11" hidden="1" x14ac:dyDescent="0.35">
      <c r="A17" s="14" t="str">
        <f>RENDIMIENTOS_BASE!D17</f>
        <v>APU-ACOELE-001</v>
      </c>
      <c r="B17" s="14" t="str">
        <f>RENDIMIENTOS_BASE!B17</f>
        <v>EDT-PRE-002</v>
      </c>
      <c r="C17" s="14" t="str">
        <f>RENDIMIENTOS_BASE!C17</f>
        <v>PK-ACOELE-001-001</v>
      </c>
      <c r="D17" s="14">
        <f>RENDIMIENTOS_BASE!E17</f>
        <v>17</v>
      </c>
      <c r="E17" s="8" t="str">
        <f>VLOOKUP(D17,RECURSOS_PRECIOS!$A$2:$H$201,3,FALSE)</f>
        <v>Material</v>
      </c>
      <c r="F17" s="8" t="str">
        <f>VLOOKUP(D17,RECURSOS_PRECIOS!$A$2:$H$201,2,FALSE)</f>
        <v>Conector Cobre</v>
      </c>
      <c r="G17" s="8" t="str">
        <f>VLOOKUP(D17,RECURSOS_PRECIOS!$A$2:$H$201,4,FALSE)</f>
        <v>un</v>
      </c>
      <c r="H17" s="10">
        <f>RENDIMIENTOS_BASE!J17</f>
        <v>1</v>
      </c>
      <c r="I17" s="10">
        <f>VLOOKUP(D17,RECURSOS_PRECIOS!$A$2:$H$201,5,FALSE)</f>
        <v>15</v>
      </c>
      <c r="J17" s="10">
        <f t="shared" si="0"/>
        <v>15</v>
      </c>
      <c r="K17" s="8" t="str">
        <f>VLOOKUP(D17,RECURSOS_PRECIOS!$A$2:$H$201,6,FALSE)</f>
        <v>mercado</v>
      </c>
    </row>
    <row r="18" spans="1:11" hidden="1" x14ac:dyDescent="0.35">
      <c r="A18" s="14" t="str">
        <f>RENDIMIENTOS_BASE!D18</f>
        <v>APU-ACOELE-002</v>
      </c>
      <c r="B18" s="14" t="str">
        <f>RENDIMIENTOS_BASE!B18</f>
        <v>EDT-PRE-002</v>
      </c>
      <c r="C18" s="14" t="str">
        <f>RENDIMIENTOS_BASE!C18</f>
        <v>PK-ACOELE-001-002</v>
      </c>
      <c r="D18" s="14">
        <f>RENDIMIENTOS_BASE!E18</f>
        <v>18</v>
      </c>
      <c r="E18" s="8" t="str">
        <f>VLOOKUP(D18,RECURSOS_PRECIOS!$A$2:$H$201,3,FALSE)</f>
        <v>Material</v>
      </c>
      <c r="F18" s="8" t="str">
        <f>VLOOKUP(D18,RECURSOS_PRECIOS!$A$2:$H$201,2,FALSE)</f>
        <v>Cable THHN #2 Rojo</v>
      </c>
      <c r="G18" s="8" t="str">
        <f>VLOOKUP(D18,RECURSOS_PRECIOS!$A$2:$H$201,4,FALSE)</f>
        <v>m</v>
      </c>
      <c r="H18" s="10">
        <f>RENDIMIENTOS_BASE!J18</f>
        <v>20</v>
      </c>
      <c r="I18" s="10">
        <f>VLOOKUP(D18,RECURSOS_PRECIOS!$A$2:$H$201,5,FALSE)</f>
        <v>3</v>
      </c>
      <c r="J18" s="10">
        <f t="shared" si="0"/>
        <v>60</v>
      </c>
      <c r="K18" s="8" t="str">
        <f>VLOOKUP(D18,RECURSOS_PRECIOS!$A$2:$H$201,6,FALSE)</f>
        <v>mercado</v>
      </c>
    </row>
    <row r="19" spans="1:11" hidden="1" x14ac:dyDescent="0.35">
      <c r="A19" s="14" t="str">
        <f>RENDIMIENTOS_BASE!D19</f>
        <v>APU-ACOELE-002</v>
      </c>
      <c r="B19" s="14" t="str">
        <f>RENDIMIENTOS_BASE!B19</f>
        <v>EDT-PRE-002</v>
      </c>
      <c r="C19" s="14" t="str">
        <f>RENDIMIENTOS_BASE!C19</f>
        <v>PK-ACOELE-001-002</v>
      </c>
      <c r="D19" s="14">
        <f>RENDIMIENTOS_BASE!E19</f>
        <v>19</v>
      </c>
      <c r="E19" s="8" t="str">
        <f>VLOOKUP(D19,RECURSOS_PRECIOS!$A$2:$H$201,3,FALSE)</f>
        <v>Material</v>
      </c>
      <c r="F19" s="8" t="str">
        <f>VLOOKUP(D19,RECURSOS_PRECIOS!$A$2:$H$201,2,FALSE)</f>
        <v>Cable THHN #2 Negro</v>
      </c>
      <c r="G19" s="8" t="str">
        <f>VLOOKUP(D19,RECURSOS_PRECIOS!$A$2:$H$201,4,FALSE)</f>
        <v>m</v>
      </c>
      <c r="H19" s="10">
        <f>RENDIMIENTOS_BASE!J19</f>
        <v>10</v>
      </c>
      <c r="I19" s="10">
        <f>VLOOKUP(D19,RECURSOS_PRECIOS!$A$2:$H$201,5,FALSE)</f>
        <v>4</v>
      </c>
      <c r="J19" s="10">
        <f t="shared" si="0"/>
        <v>40</v>
      </c>
      <c r="K19" s="8" t="str">
        <f>VLOOKUP(D19,RECURSOS_PRECIOS!$A$2:$H$201,6,FALSE)</f>
        <v>mercado</v>
      </c>
    </row>
    <row r="20" spans="1:11" hidden="1" x14ac:dyDescent="0.35">
      <c r="A20" s="14" t="str">
        <f>RENDIMIENTOS_BASE!D20</f>
        <v>APU-ACOELE-002</v>
      </c>
      <c r="B20" s="14" t="str">
        <f>RENDIMIENTOS_BASE!B20</f>
        <v>EDT-PRE-002</v>
      </c>
      <c r="C20" s="14" t="str">
        <f>RENDIMIENTOS_BASE!C20</f>
        <v>PK-ACOELE-001-002</v>
      </c>
      <c r="D20" s="14">
        <f>RENDIMIENTOS_BASE!E20</f>
        <v>20</v>
      </c>
      <c r="E20" s="8" t="str">
        <f>VLOOKUP(D20,RECURSOS_PRECIOS!$A$2:$H$201,3,FALSE)</f>
        <v>Material</v>
      </c>
      <c r="F20" s="8" t="str">
        <f>VLOOKUP(D20,RECURSOS_PRECIOS!$A$2:$H$201,2,FALSE)</f>
        <v>Cable Desnudo #4</v>
      </c>
      <c r="G20" s="8" t="str">
        <f>VLOOKUP(D20,RECURSOS_PRECIOS!$A$2:$H$201,4,FALSE)</f>
        <v>m</v>
      </c>
      <c r="H20" s="10">
        <f>RENDIMIENTOS_BASE!J20</f>
        <v>10</v>
      </c>
      <c r="I20" s="10">
        <f>VLOOKUP(D20,RECURSOS_PRECIOS!$A$2:$H$201,5,FALSE)</f>
        <v>5</v>
      </c>
      <c r="J20" s="10">
        <f t="shared" si="0"/>
        <v>50</v>
      </c>
      <c r="K20" s="8" t="str">
        <f>VLOOKUP(D20,RECURSOS_PRECIOS!$A$2:$H$201,6,FALSE)</f>
        <v>mercado</v>
      </c>
    </row>
    <row r="21" spans="1:11" hidden="1" x14ac:dyDescent="0.35">
      <c r="A21" s="14" t="str">
        <f>RENDIMIENTOS_BASE!D21</f>
        <v>APU-ACOELE-001</v>
      </c>
      <c r="B21" s="14" t="str">
        <f>RENDIMIENTOS_BASE!B21</f>
        <v>EDT-PRE-002</v>
      </c>
      <c r="C21" s="14" t="str">
        <f>RENDIMIENTOS_BASE!C21</f>
        <v>PK-ACOELE-001-001</v>
      </c>
      <c r="D21" s="14">
        <f>RENDIMIENTOS_BASE!E21</f>
        <v>8</v>
      </c>
      <c r="E21" s="8" t="str">
        <f>VLOOKUP(D21,RECURSOS_PRECIOS!$A$2:$H$201,3,FALSE)</f>
        <v>Mano Obra</v>
      </c>
      <c r="F21" s="8" t="str">
        <f>VLOOKUP(D21,RECURSOS_PRECIOS!$A$2:$H$201,2,FALSE)</f>
        <v>Operario</v>
      </c>
      <c r="G21" s="8" t="str">
        <f>VLOOKUP(D21,RECURSOS_PRECIOS!$A$2:$H$201,4,FALSE)</f>
        <v>hr</v>
      </c>
      <c r="H21" s="10">
        <f>RENDIMIENTOS_BASE!J21</f>
        <v>5</v>
      </c>
      <c r="I21" s="10">
        <f>VLOOKUP(D21,RECURSOS_PRECIOS!$A$2:$H$201,5,FALSE)</f>
        <v>6</v>
      </c>
      <c r="J21" s="10">
        <f t="shared" ref="J21:J23" si="1">H21*I21</f>
        <v>30</v>
      </c>
      <c r="K21" s="8" t="str">
        <f>VLOOKUP(D21,RECURSOS_PRECIOS!$A$2:$H$201,6,FALSE)</f>
        <v>mercado</v>
      </c>
    </row>
    <row r="22" spans="1:11" hidden="1" x14ac:dyDescent="0.35">
      <c r="A22" s="14" t="str">
        <f>RENDIMIENTOS_BASE!D22</f>
        <v>APU-ACOELE-001</v>
      </c>
      <c r="B22" s="14" t="str">
        <f>RENDIMIENTOS_BASE!B22</f>
        <v>EDT-PRE-002</v>
      </c>
      <c r="C22" s="14" t="str">
        <f>RENDIMIENTOS_BASE!C22</f>
        <v>PK-ACOELE-001-001</v>
      </c>
      <c r="D22" s="14">
        <f>RENDIMIENTOS_BASE!E22</f>
        <v>10</v>
      </c>
      <c r="E22" s="8" t="str">
        <f>VLOOKUP(D22,RECURSOS_PRECIOS!$A$2:$H$201,3,FALSE)</f>
        <v>Mano Obra</v>
      </c>
      <c r="F22" s="8" t="str">
        <f>VLOOKUP(D22,RECURSOS_PRECIOS!$A$2:$H$201,2,FALSE)</f>
        <v>Peon</v>
      </c>
      <c r="G22" s="8" t="str">
        <f>VLOOKUP(D22,RECURSOS_PRECIOS!$A$2:$H$201,4,FALSE)</f>
        <v>hr</v>
      </c>
      <c r="H22" s="10">
        <f>RENDIMIENTOS_BASE!J22</f>
        <v>5</v>
      </c>
      <c r="I22" s="10">
        <f>VLOOKUP(D22,RECURSOS_PRECIOS!$A$2:$H$201,5,FALSE)</f>
        <v>4</v>
      </c>
      <c r="J22" s="10">
        <f t="shared" si="1"/>
        <v>20</v>
      </c>
      <c r="K22" s="8" t="str">
        <f>VLOOKUP(D22,RECURSOS_PRECIOS!$A$2:$H$201,6,FALSE)</f>
        <v>mercado</v>
      </c>
    </row>
    <row r="23" spans="1:11" hidden="1" x14ac:dyDescent="0.35">
      <c r="A23" s="14" t="str">
        <f>RENDIMIENTOS_BASE!D23</f>
        <v>APU-LN-001</v>
      </c>
      <c r="B23" s="14" t="str">
        <f>RENDIMIENTOS_BASE!B23</f>
        <v>EDT-PRE-003</v>
      </c>
      <c r="C23" s="14" t="str">
        <f>RENDIMIENTOS_BASE!C23</f>
        <v>PK-LN-001-001</v>
      </c>
      <c r="D23" s="14">
        <f>RENDIMIENTOS_BASE!E23</f>
        <v>21</v>
      </c>
      <c r="E23" s="8" t="str">
        <f>VLOOKUP(D23,RECURSOS_PRECIOS!$A$2:$H$201,3,FALSE)</f>
        <v>Subcontrato</v>
      </c>
      <c r="F23" s="8" t="str">
        <f>VLOOKUP(D23,RECURSOS_PRECIOS!$A$2:$H$201,2,FALSE)</f>
        <v>Back Hoe</v>
      </c>
      <c r="G23" s="8" t="str">
        <f>VLOOKUP(D23,RECURSOS_PRECIOS!$A$2:$H$201,4,FALSE)</f>
        <v>hr</v>
      </c>
      <c r="H23" s="10">
        <f>RENDIMIENTOS_BASE!J23</f>
        <v>4.8000000000000001E-2</v>
      </c>
      <c r="I23" s="10">
        <f>VLOOKUP(D23,RECURSOS_PRECIOS!$A$2:$H$201,5,FALSE)</f>
        <v>30</v>
      </c>
      <c r="J23" s="10">
        <f t="shared" si="1"/>
        <v>1.44</v>
      </c>
      <c r="K23" s="8" t="str">
        <f>VLOOKUP(D23,RECURSOS_PRECIOS!$A$2:$H$201,6,FALSE)</f>
        <v>mercado</v>
      </c>
    </row>
    <row r="24" spans="1:11" hidden="1" x14ac:dyDescent="0.35">
      <c r="A24" s="14" t="str">
        <f>RENDIMIENTOS_BASE!D24</f>
        <v>APU-BO-001-001</v>
      </c>
      <c r="B24" s="14" t="str">
        <f>RENDIMIENTOS_BASE!B24</f>
        <v>EDT-PRE-004</v>
      </c>
      <c r="C24" s="14" t="str">
        <f>RENDIMIENTOS_BASE!C24</f>
        <v>PK-BO-001-001</v>
      </c>
      <c r="D24" s="14">
        <f>RENDIMIENTOS_BASE!E24</f>
        <v>22</v>
      </c>
      <c r="E24" s="8" t="str">
        <f>VLOOKUP(D24,RECURSOS_PRECIOS!$A$2:$H$201,3,FALSE)</f>
        <v>Material</v>
      </c>
      <c r="F24" s="8" t="str">
        <f>VLOOKUP(D24,RECURSOS_PRECIOS!$A$2:$H$201,2,FALSE)</f>
        <v>Poste 3x3 en 4 varas</v>
      </c>
      <c r="G24" s="8" t="str">
        <f>VLOOKUP(D24,RECURSOS_PRECIOS!$A$2:$H$201,4,FALSE)</f>
        <v>un</v>
      </c>
      <c r="H24" s="10">
        <f>RENDIMIENTOS_BASE!J24</f>
        <v>11.666666666666668</v>
      </c>
      <c r="I24" s="10">
        <f>VLOOKUP(D24,RECURSOS_PRECIOS!$A$2:$H$201,5,FALSE)</f>
        <v>10</v>
      </c>
      <c r="J24" s="10">
        <f t="shared" ref="J24:J25" si="2">H24*I24</f>
        <v>116.66666666666669</v>
      </c>
      <c r="K24" s="8" t="str">
        <f>VLOOKUP(D24,RECURSOS_PRECIOS!$A$2:$H$201,6,FALSE)</f>
        <v>mercado</v>
      </c>
    </row>
    <row r="25" spans="1:11" hidden="1" x14ac:dyDescent="0.35">
      <c r="A25" s="14" t="str">
        <f>RENDIMIENTOS_BASE!D25</f>
        <v>APU-BO-001-001</v>
      </c>
      <c r="B25" s="14" t="str">
        <f>RENDIMIENTOS_BASE!B25</f>
        <v>EDT-PRE-004</v>
      </c>
      <c r="C25" s="14" t="str">
        <f>RENDIMIENTOS_BASE!C25</f>
        <v>PK-BO-001-001</v>
      </c>
      <c r="D25" s="14">
        <f>RENDIMIENTOS_BASE!E25</f>
        <v>23</v>
      </c>
      <c r="E25" s="8" t="str">
        <f>VLOOKUP(D25,RECURSOS_PRECIOS!$A$2:$H$201,3,FALSE)</f>
        <v>Material</v>
      </c>
      <c r="F25" s="8" t="str">
        <f>VLOOKUP(D25,RECURSOS_PRECIOS!$A$2:$H$201,2,FALSE)</f>
        <v>Regla 1x4 en 4 varas</v>
      </c>
      <c r="G25" s="8" t="str">
        <f>VLOOKUP(D25,RECURSOS_PRECIOS!$A$2:$H$201,4,FALSE)</f>
        <v>un</v>
      </c>
      <c r="H25" s="10">
        <f>RENDIMIENTOS_BASE!J25</f>
        <v>8.75</v>
      </c>
      <c r="I25" s="10">
        <f>VLOOKUP(D25,RECURSOS_PRECIOS!$A$2:$H$201,5,FALSE)</f>
        <v>8</v>
      </c>
      <c r="J25" s="10">
        <f t="shared" si="2"/>
        <v>70</v>
      </c>
      <c r="K25" s="8" t="str">
        <f>VLOOKUP(D25,RECURSOS_PRECIOS!$A$2:$H$201,6,FALSE)</f>
        <v>mercado</v>
      </c>
    </row>
    <row r="26" spans="1:11" hidden="1" x14ac:dyDescent="0.35">
      <c r="A26" s="14" t="str">
        <f>RENDIMIENTOS_BASE!D26</f>
        <v>APU-BO-001-002</v>
      </c>
      <c r="B26" s="14" t="str">
        <f>RENDIMIENTOS_BASE!B26</f>
        <v>EDT-PRE-004</v>
      </c>
      <c r="C26" s="14" t="str">
        <f>RENDIMIENTOS_BASE!C26</f>
        <v>PK-BO-001-002</v>
      </c>
      <c r="D26" s="14">
        <f>RENDIMIENTOS_BASE!E26</f>
        <v>23</v>
      </c>
      <c r="E26" s="8" t="str">
        <f>VLOOKUP(D26,RECURSOS_PRECIOS!$A$2:$H$201,3,FALSE)</f>
        <v>Material</v>
      </c>
      <c r="F26" s="8" t="str">
        <f>VLOOKUP(D26,RECURSOS_PRECIOS!$A$2:$H$201,2,FALSE)</f>
        <v>Regla 1x4 en 4 varas</v>
      </c>
      <c r="G26" s="8" t="str">
        <f>VLOOKUP(D26,RECURSOS_PRECIOS!$A$2:$H$201,4,FALSE)</f>
        <v>un</v>
      </c>
      <c r="H26" s="10">
        <f>RENDIMIENTOS_BASE!J26</f>
        <v>6.7200000000000006</v>
      </c>
      <c r="I26" s="10">
        <f>VLOOKUP(D26,RECURSOS_PRECIOS!$A$2:$H$201,5,FALSE)</f>
        <v>8</v>
      </c>
      <c r="J26" s="10">
        <f t="shared" ref="J26:J28" si="3">H26*I26</f>
        <v>53.760000000000005</v>
      </c>
      <c r="K26" s="8" t="str">
        <f>VLOOKUP(D26,RECURSOS_PRECIOS!$A$2:$H$201,6,FALSE)</f>
        <v>mercado</v>
      </c>
    </row>
    <row r="27" spans="1:11" ht="29" hidden="1" x14ac:dyDescent="0.35">
      <c r="A27" s="14" t="str">
        <f>RENDIMIENTOS_BASE!D27</f>
        <v>APU-BO-001-002</v>
      </c>
      <c r="B27" s="14" t="str">
        <f>RENDIMIENTOS_BASE!B27</f>
        <v>EDT-PRE-004</v>
      </c>
      <c r="C27" s="14" t="str">
        <f>RENDIMIENTOS_BASE!C27</f>
        <v>PK-BO-001-002</v>
      </c>
      <c r="D27" s="14">
        <f>RENDIMIENTOS_BASE!E27</f>
        <v>24</v>
      </c>
      <c r="E27" s="8" t="str">
        <f>VLOOKUP(D27,RECURSOS_PRECIOS!$A$2:$H$201,3,FALSE)</f>
        <v>Material</v>
      </c>
      <c r="F27" s="8" t="str">
        <f>VLOOKUP(D27,RECURSOS_PRECIOS!$A$2:$H$201,2,FALSE)</f>
        <v>Lamina de Zinc Ondulado Cal 28 2,44</v>
      </c>
      <c r="G27" s="8" t="str">
        <f>VLOOKUP(D27,RECURSOS_PRECIOS!$A$2:$H$201,4,FALSE)</f>
        <v>un</v>
      </c>
      <c r="H27" s="10">
        <f>RENDIMIENTOS_BASE!J27</f>
        <v>17.000607164541591</v>
      </c>
      <c r="I27" s="10">
        <f>VLOOKUP(D27,RECURSOS_PRECIOS!$A$2:$H$201,5,FALSE)</f>
        <v>12</v>
      </c>
      <c r="J27" s="10">
        <f t="shared" si="3"/>
        <v>204.0072859744991</v>
      </c>
      <c r="K27" s="8" t="str">
        <f>VLOOKUP(D27,RECURSOS_PRECIOS!$A$2:$H$201,6,FALSE)</f>
        <v>mercado</v>
      </c>
    </row>
    <row r="28" spans="1:11" hidden="1" x14ac:dyDescent="0.35">
      <c r="A28" s="14" t="str">
        <f>RENDIMIENTOS_BASE!D28</f>
        <v>APU-BO-001-002</v>
      </c>
      <c r="B28" s="14" t="str">
        <f>RENDIMIENTOS_BASE!B28</f>
        <v>EDT-PRE-004</v>
      </c>
      <c r="C28" s="14" t="str">
        <f>RENDIMIENTOS_BASE!C28</f>
        <v>PK-BO-001-002</v>
      </c>
      <c r="D28" s="14">
        <f>RENDIMIENTOS_BASE!E28</f>
        <v>25</v>
      </c>
      <c r="E28" s="8" t="str">
        <f>VLOOKUP(D28,RECURSOS_PRECIOS!$A$2:$H$201,3,FALSE)</f>
        <v>Material</v>
      </c>
      <c r="F28" s="8" t="str">
        <f>VLOOKUP(D28,RECURSOS_PRECIOS!$A$2:$H$201,2,FALSE)</f>
        <v>Clavos de Techo HG</v>
      </c>
      <c r="G28" s="8" t="str">
        <f>VLOOKUP(D28,RECURSOS_PRECIOS!$A$2:$H$201,4,FALSE)</f>
        <v>un</v>
      </c>
      <c r="H28" s="10">
        <f>RENDIMIENTOS_BASE!J28</f>
        <v>403.20000000000005</v>
      </c>
      <c r="I28" s="10">
        <f>VLOOKUP(D28,RECURSOS_PRECIOS!$A$2:$H$201,5,FALSE)</f>
        <v>1</v>
      </c>
      <c r="J28" s="10">
        <f t="shared" si="3"/>
        <v>403.20000000000005</v>
      </c>
      <c r="K28" s="8" t="str">
        <f>VLOOKUP(D28,RECURSOS_PRECIOS!$A$2:$H$201,6,FALSE)</f>
        <v>mercado</v>
      </c>
    </row>
    <row r="29" spans="1:11" hidden="1" x14ac:dyDescent="0.35">
      <c r="A29" s="14" t="str">
        <f>RENDIMIENTOS_BASE!D29</f>
        <v>APU-BO-001-003</v>
      </c>
      <c r="B29" s="14" t="str">
        <f>RENDIMIENTOS_BASE!B29</f>
        <v>EDT-PRE-004</v>
      </c>
      <c r="C29" s="14" t="str">
        <f>RENDIMIENTOS_BASE!C29</f>
        <v>PK-BO-001-003</v>
      </c>
      <c r="D29" s="14">
        <f>RENDIMIENTOS_BASE!E29</f>
        <v>23</v>
      </c>
      <c r="E29" s="8" t="str">
        <f>VLOOKUP(D29,RECURSOS_PRECIOS!$A$2:$H$201,3,FALSE)</f>
        <v>Material</v>
      </c>
      <c r="F29" s="8" t="str">
        <f>VLOOKUP(D29,RECURSOS_PRECIOS!$A$2:$H$201,2,FALSE)</f>
        <v>Regla 1x4 en 4 varas</v>
      </c>
      <c r="G29" s="8" t="str">
        <f>VLOOKUP(D29,RECURSOS_PRECIOS!$A$2:$H$201,4,FALSE)</f>
        <v>un</v>
      </c>
      <c r="H29" s="10">
        <f>RENDIMIENTOS_BASE!J29</f>
        <v>5.859375</v>
      </c>
      <c r="I29" s="10">
        <f>VLOOKUP(D29,RECURSOS_PRECIOS!$A$2:$H$201,5,FALSE)</f>
        <v>8</v>
      </c>
      <c r="J29" s="10">
        <f t="shared" ref="J29:J33" si="4">H29*I29</f>
        <v>46.875</v>
      </c>
      <c r="K29" s="8" t="str">
        <f>VLOOKUP(D29,RECURSOS_PRECIOS!$A$2:$H$201,6,FALSE)</f>
        <v>mercado</v>
      </c>
    </row>
    <row r="30" spans="1:11" ht="29" hidden="1" x14ac:dyDescent="0.35">
      <c r="A30" s="14" t="str">
        <f>RENDIMIENTOS_BASE!D30</f>
        <v>APU-BO-001-003</v>
      </c>
      <c r="B30" s="14" t="str">
        <f>RENDIMIENTOS_BASE!B30</f>
        <v>EDT-PRE-004</v>
      </c>
      <c r="C30" s="14" t="str">
        <f>RENDIMIENTOS_BASE!C30</f>
        <v>PK-BO-001-003</v>
      </c>
      <c r="D30" s="14">
        <f>RENDIMIENTOS_BASE!E30</f>
        <v>24</v>
      </c>
      <c r="E30" s="8" t="str">
        <f>VLOOKUP(D30,RECURSOS_PRECIOS!$A$2:$H$201,3,FALSE)</f>
        <v>Material</v>
      </c>
      <c r="F30" s="8" t="str">
        <f>VLOOKUP(D30,RECURSOS_PRECIOS!$A$2:$H$201,2,FALSE)</f>
        <v>Lamina de Zinc Ondulado Cal 28 2,44</v>
      </c>
      <c r="G30" s="8" t="str">
        <f>VLOOKUP(D30,RECURSOS_PRECIOS!$A$2:$H$201,4,FALSE)</f>
        <v>un</v>
      </c>
      <c r="H30" s="10">
        <f>RENDIMIENTOS_BASE!J30</f>
        <v>7.65</v>
      </c>
      <c r="I30" s="10">
        <f>VLOOKUP(D30,RECURSOS_PRECIOS!$A$2:$H$201,5,FALSE)</f>
        <v>12</v>
      </c>
      <c r="J30" s="10">
        <f t="shared" si="4"/>
        <v>91.800000000000011</v>
      </c>
      <c r="K30" s="8" t="str">
        <f>VLOOKUP(D30,RECURSOS_PRECIOS!$A$2:$H$201,6,FALSE)</f>
        <v>mercado</v>
      </c>
    </row>
    <row r="31" spans="1:11" hidden="1" x14ac:dyDescent="0.35">
      <c r="A31" s="14" t="str">
        <f>RENDIMIENTOS_BASE!D31</f>
        <v>APU-BO-001-003</v>
      </c>
      <c r="B31" s="14" t="str">
        <f>RENDIMIENTOS_BASE!B31</f>
        <v>EDT-PRE-004</v>
      </c>
      <c r="C31" s="14" t="str">
        <f>RENDIMIENTOS_BASE!C31</f>
        <v>PK-BO-001-003</v>
      </c>
      <c r="D31" s="14">
        <f>RENDIMIENTOS_BASE!E31</f>
        <v>25</v>
      </c>
      <c r="E31" s="8" t="str">
        <f>VLOOKUP(D31,RECURSOS_PRECIOS!$A$2:$H$201,3,FALSE)</f>
        <v>Material</v>
      </c>
      <c r="F31" s="8" t="str">
        <f>VLOOKUP(D31,RECURSOS_PRECIOS!$A$2:$H$201,2,FALSE)</f>
        <v>Clavos de Techo HG</v>
      </c>
      <c r="G31" s="8" t="str">
        <f>VLOOKUP(D31,RECURSOS_PRECIOS!$A$2:$H$201,4,FALSE)</f>
        <v>un</v>
      </c>
      <c r="H31" s="10">
        <f>RENDIMIENTOS_BASE!J31</f>
        <v>225</v>
      </c>
      <c r="I31" s="10">
        <f>VLOOKUP(D31,RECURSOS_PRECIOS!$A$2:$H$201,5,FALSE)</f>
        <v>1</v>
      </c>
      <c r="J31" s="10">
        <f t="shared" si="4"/>
        <v>225</v>
      </c>
      <c r="K31" s="8" t="str">
        <f>VLOOKUP(D31,RECURSOS_PRECIOS!$A$2:$H$201,6,FALSE)</f>
        <v>mercado</v>
      </c>
    </row>
    <row r="32" spans="1:11" ht="29" hidden="1" x14ac:dyDescent="0.35">
      <c r="A32" s="14" t="str">
        <f>RENDIMIENTOS_BASE!D32</f>
        <v>APU-BO-001-004</v>
      </c>
      <c r="B32" s="14" t="str">
        <f>RENDIMIENTOS_BASE!B32</f>
        <v>EDT-PRE-004</v>
      </c>
      <c r="C32" s="14" t="str">
        <f>RENDIMIENTOS_BASE!C32</f>
        <v>PK-BO-001-004</v>
      </c>
      <c r="D32" s="14">
        <f>RENDIMIENTOS_BASE!E32</f>
        <v>24</v>
      </c>
      <c r="E32" s="8" t="str">
        <f>VLOOKUP(D32,RECURSOS_PRECIOS!$A$2:$H$201,3,FALSE)</f>
        <v>Material</v>
      </c>
      <c r="F32" s="8" t="str">
        <f>VLOOKUP(D32,RECURSOS_PRECIOS!$A$2:$H$201,2,FALSE)</f>
        <v>Lamina de Zinc Ondulado Cal 28 2,44</v>
      </c>
      <c r="G32" s="8" t="str">
        <f>VLOOKUP(D32,RECURSOS_PRECIOS!$A$2:$H$201,4,FALSE)</f>
        <v>un</v>
      </c>
      <c r="H32" s="10">
        <f>RENDIMIENTOS_BASE!J32</f>
        <v>1</v>
      </c>
      <c r="I32" s="10">
        <f>VLOOKUP(D32,RECURSOS_PRECIOS!$A$2:$H$201,5,FALSE)</f>
        <v>12</v>
      </c>
      <c r="J32" s="10">
        <f t="shared" si="4"/>
        <v>12</v>
      </c>
      <c r="K32" s="8" t="str">
        <f>VLOOKUP(D32,RECURSOS_PRECIOS!$A$2:$H$201,6,FALSE)</f>
        <v>mercado</v>
      </c>
    </row>
    <row r="33" spans="1:11" hidden="1" x14ac:dyDescent="0.35">
      <c r="A33" s="14" t="str">
        <f>RENDIMIENTOS_BASE!D33</f>
        <v>APU-BO-001-004</v>
      </c>
      <c r="B33" s="14" t="str">
        <f>RENDIMIENTOS_BASE!B33</f>
        <v>EDT-PRE-004</v>
      </c>
      <c r="C33" s="14" t="str">
        <f>RENDIMIENTOS_BASE!C33</f>
        <v>PK-BO-001-004</v>
      </c>
      <c r="D33" s="14">
        <f>RENDIMIENTOS_BASE!E33</f>
        <v>23</v>
      </c>
      <c r="E33" s="8" t="str">
        <f>VLOOKUP(D33,RECURSOS_PRECIOS!$A$2:$H$201,3,FALSE)</f>
        <v>Material</v>
      </c>
      <c r="F33" s="8" t="str">
        <f>VLOOKUP(D33,RECURSOS_PRECIOS!$A$2:$H$201,2,FALSE)</f>
        <v>Regla 1x4 en 4 varas</v>
      </c>
      <c r="G33" s="8" t="str">
        <f>VLOOKUP(D33,RECURSOS_PRECIOS!$A$2:$H$201,4,FALSE)</f>
        <v>un</v>
      </c>
      <c r="H33" s="10">
        <f>RENDIMIENTOS_BASE!J33</f>
        <v>1.5249999999999999</v>
      </c>
      <c r="I33" s="10">
        <f>VLOOKUP(D33,RECURSOS_PRECIOS!$A$2:$H$201,5,FALSE)</f>
        <v>8</v>
      </c>
      <c r="J33" s="10">
        <f t="shared" si="4"/>
        <v>12.2</v>
      </c>
      <c r="K33" s="8" t="str">
        <f>VLOOKUP(D33,RECURSOS_PRECIOS!$A$2:$H$201,6,FALSE)</f>
        <v>mercado</v>
      </c>
    </row>
    <row r="34" spans="1:11" hidden="1" x14ac:dyDescent="0.35">
      <c r="A34" s="14" t="str">
        <f>RENDIMIENTOS_BASE!D34</f>
        <v>APU-BO-001-004</v>
      </c>
      <c r="B34" s="14" t="str">
        <f>RENDIMIENTOS_BASE!B34</f>
        <v>EDT-PRE-004</v>
      </c>
      <c r="C34" s="14" t="str">
        <f>RENDIMIENTOS_BASE!C34</f>
        <v>PK-BO-001-004</v>
      </c>
      <c r="D34" s="14">
        <f>RENDIMIENTOS_BASE!E34</f>
        <v>26</v>
      </c>
      <c r="E34" s="8" t="str">
        <f>VLOOKUP(D34,RECURSOS_PRECIOS!$A$2:$H$201,3,FALSE)</f>
        <v>Material</v>
      </c>
      <c r="F34" s="8" t="str">
        <f>VLOOKUP(D34,RECURSOS_PRECIOS!$A$2:$H$201,2,FALSE)</f>
        <v>Bisagra 3x3</v>
      </c>
      <c r="G34" s="8" t="str">
        <f>VLOOKUP(D34,RECURSOS_PRECIOS!$A$2:$H$201,4,FALSE)</f>
        <v>un</v>
      </c>
      <c r="H34" s="10">
        <f>RENDIMIENTOS_BASE!J34</f>
        <v>1</v>
      </c>
      <c r="I34" s="10">
        <f>VLOOKUP(D34,RECURSOS_PRECIOS!$A$2:$H$201,5,FALSE)</f>
        <v>2</v>
      </c>
      <c r="J34" s="10">
        <f t="shared" ref="J34:J35" si="5">H34*I34</f>
        <v>2</v>
      </c>
      <c r="K34" s="8" t="str">
        <f>VLOOKUP(D34,RECURSOS_PRECIOS!$A$2:$H$201,6,FALSE)</f>
        <v>mercado</v>
      </c>
    </row>
    <row r="35" spans="1:11" hidden="1" x14ac:dyDescent="0.35">
      <c r="A35" s="14" t="str">
        <f>RENDIMIENTOS_BASE!D35</f>
        <v>APU-BO-001-004</v>
      </c>
      <c r="B35" s="14" t="str">
        <f>RENDIMIENTOS_BASE!B35</f>
        <v>EDT-PRE-004</v>
      </c>
      <c r="C35" s="14" t="str">
        <f>RENDIMIENTOS_BASE!C35</f>
        <v>PK-BO-001-004</v>
      </c>
      <c r="D35" s="14">
        <f>RENDIMIENTOS_BASE!E35</f>
        <v>27</v>
      </c>
      <c r="E35" s="8" t="str">
        <f>VLOOKUP(D35,RECURSOS_PRECIOS!$A$2:$H$201,3,FALSE)</f>
        <v>Material</v>
      </c>
      <c r="F35" s="8" t="str">
        <f>VLOOKUP(D35,RECURSOS_PRECIOS!$A$2:$H$201,2,FALSE)</f>
        <v>Candado</v>
      </c>
      <c r="G35" s="8" t="str">
        <f>VLOOKUP(D35,RECURSOS_PRECIOS!$A$2:$H$201,4,FALSE)</f>
        <v>un</v>
      </c>
      <c r="H35" s="10">
        <f>RENDIMIENTOS_BASE!J35</f>
        <v>1</v>
      </c>
      <c r="I35" s="10">
        <f>VLOOKUP(D35,RECURSOS_PRECIOS!$A$2:$H$201,5,FALSE)</f>
        <v>12</v>
      </c>
      <c r="J35" s="10">
        <f t="shared" si="5"/>
        <v>12</v>
      </c>
      <c r="K35" s="8" t="str">
        <f>VLOOKUP(D35,RECURSOS_PRECIOS!$A$2:$H$201,6,FALSE)</f>
        <v>mercado</v>
      </c>
    </row>
    <row r="36" spans="1:11" hidden="1" x14ac:dyDescent="0.35">
      <c r="A36" s="14" t="str">
        <f>RENDIMIENTOS_BASE!D36</f>
        <v>APU-BO-001-004</v>
      </c>
      <c r="B36" s="14" t="str">
        <f>RENDIMIENTOS_BASE!B36</f>
        <v>EDT-PRE-004</v>
      </c>
      <c r="C36" s="14" t="str">
        <f>RENDIMIENTOS_BASE!C36</f>
        <v>PK-BO-001-004</v>
      </c>
      <c r="D36" s="14">
        <f>RENDIMIENTOS_BASE!E36</f>
        <v>28</v>
      </c>
      <c r="E36" s="8" t="str">
        <f>VLOOKUP(D36,RECURSOS_PRECIOS!$A$2:$H$201,3,FALSE)</f>
        <v>Material</v>
      </c>
      <c r="F36" s="8" t="str">
        <f>VLOOKUP(D36,RECURSOS_PRECIOS!$A$2:$H$201,2,FALSE)</f>
        <v>Cadena</v>
      </c>
      <c r="G36" s="8" t="str">
        <f>VLOOKUP(D36,RECURSOS_PRECIOS!$A$2:$H$201,4,FALSE)</f>
        <v>m</v>
      </c>
      <c r="H36" s="10">
        <f>RENDIMIENTOS_BASE!J36</f>
        <v>1</v>
      </c>
      <c r="I36" s="10">
        <f>VLOOKUP(D36,RECURSOS_PRECIOS!$A$2:$H$201,5,FALSE)</f>
        <v>20</v>
      </c>
      <c r="J36" s="10">
        <f t="shared" ref="J36:J38" si="6">H36*I36</f>
        <v>20</v>
      </c>
      <c r="K36" s="8" t="str">
        <f>VLOOKUP(D36,RECURSOS_PRECIOS!$A$2:$H$201,6,FALSE)</f>
        <v>mercado</v>
      </c>
    </row>
    <row r="37" spans="1:11" hidden="1" x14ac:dyDescent="0.35">
      <c r="A37" s="14" t="str">
        <f>RENDIMIENTOS_BASE!D37</f>
        <v>APU-BO-001-004</v>
      </c>
      <c r="B37" s="14" t="str">
        <f>RENDIMIENTOS_BASE!B37</f>
        <v>EDT-PRE-004</v>
      </c>
      <c r="C37" s="14" t="str">
        <f>RENDIMIENTOS_BASE!C37</f>
        <v>PK-BO-001-004</v>
      </c>
      <c r="D37" s="14">
        <f>RENDIMIENTOS_BASE!E37</f>
        <v>8</v>
      </c>
      <c r="E37" s="8" t="str">
        <f>VLOOKUP(D37,RECURSOS_PRECIOS!$A$2:$H$201,3,FALSE)</f>
        <v>Mano Obra</v>
      </c>
      <c r="F37" s="8" t="str">
        <f>VLOOKUP(D37,RECURSOS_PRECIOS!$A$2:$H$201,2,FALSE)</f>
        <v>Operario</v>
      </c>
      <c r="G37" s="8" t="str">
        <f>VLOOKUP(D37,RECURSOS_PRECIOS!$A$2:$H$201,4,FALSE)</f>
        <v>hr</v>
      </c>
      <c r="H37" s="10">
        <f>RENDIMIENTOS_BASE!J37</f>
        <v>4</v>
      </c>
      <c r="I37" s="10">
        <f>VLOOKUP(D37,RECURSOS_PRECIOS!$A$2:$H$201,5,FALSE)</f>
        <v>6</v>
      </c>
      <c r="J37" s="10">
        <f t="shared" si="6"/>
        <v>24</v>
      </c>
      <c r="K37" s="8" t="str">
        <f>VLOOKUP(D37,RECURSOS_PRECIOS!$A$2:$H$201,6,FALSE)</f>
        <v>mercado</v>
      </c>
    </row>
    <row r="38" spans="1:11" hidden="1" x14ac:dyDescent="0.35">
      <c r="A38" s="14" t="str">
        <f>RENDIMIENTOS_BASE!D38</f>
        <v>APU-BO-001-004</v>
      </c>
      <c r="B38" s="14" t="str">
        <f>RENDIMIENTOS_BASE!B38</f>
        <v>EDT-PRE-004</v>
      </c>
      <c r="C38" s="14" t="str">
        <f>RENDIMIENTOS_BASE!C38</f>
        <v>PK-BO-001-004</v>
      </c>
      <c r="D38" s="14">
        <f>RENDIMIENTOS_BASE!E38</f>
        <v>9</v>
      </c>
      <c r="E38" s="8" t="str">
        <f>VLOOKUP(D38,RECURSOS_PRECIOS!$A$2:$H$201,3,FALSE)</f>
        <v>Mano Obra</v>
      </c>
      <c r="F38" s="8" t="str">
        <f>VLOOKUP(D38,RECURSOS_PRECIOS!$A$2:$H$201,2,FALSE)</f>
        <v>Ayudante</v>
      </c>
      <c r="G38" s="8" t="str">
        <f>VLOOKUP(D38,RECURSOS_PRECIOS!$A$2:$H$201,4,FALSE)</f>
        <v>hr</v>
      </c>
      <c r="H38" s="10">
        <f>RENDIMIENTOS_BASE!J38</f>
        <v>4</v>
      </c>
      <c r="I38" s="10">
        <f>VLOOKUP(D38,RECURSOS_PRECIOS!$A$2:$H$201,5,FALSE)</f>
        <v>5</v>
      </c>
      <c r="J38" s="10">
        <f t="shared" si="6"/>
        <v>20</v>
      </c>
      <c r="K38" s="8" t="str">
        <f>VLOOKUP(D38,RECURSOS_PRECIOS!$A$2:$H$201,6,FALSE)</f>
        <v>mercado</v>
      </c>
    </row>
    <row r="39" spans="1:11" hidden="1" x14ac:dyDescent="0.35">
      <c r="A39" s="14" t="str">
        <f>RENDIMIENTOS_BASE!D39</f>
        <v>APU-BO-001-004</v>
      </c>
      <c r="B39" s="14" t="str">
        <f>RENDIMIENTOS_BASE!B39</f>
        <v>EDT-PRE-004</v>
      </c>
      <c r="C39" s="14" t="str">
        <f>RENDIMIENTOS_BASE!C39</f>
        <v>PK-BO-001-004</v>
      </c>
      <c r="D39" s="14">
        <f>RENDIMIENTOS_BASE!E39</f>
        <v>10</v>
      </c>
      <c r="E39" s="8" t="str">
        <f>VLOOKUP(D39,RECURSOS_PRECIOS!$A$2:$H$201,3,FALSE)</f>
        <v>Mano Obra</v>
      </c>
      <c r="F39" s="8" t="str">
        <f>VLOOKUP(D39,RECURSOS_PRECIOS!$A$2:$H$201,2,FALSE)</f>
        <v>Peon</v>
      </c>
      <c r="G39" s="8" t="str">
        <f>VLOOKUP(D39,RECURSOS_PRECIOS!$A$2:$H$201,4,FALSE)</f>
        <v>hr</v>
      </c>
      <c r="H39" s="10">
        <f>RENDIMIENTOS_BASE!J39</f>
        <v>4</v>
      </c>
      <c r="I39" s="10">
        <f>VLOOKUP(D39,RECURSOS_PRECIOS!$A$2:$H$201,5,FALSE)</f>
        <v>4</v>
      </c>
      <c r="J39" s="10">
        <f t="shared" ref="J39" si="7">H39*I39</f>
        <v>16</v>
      </c>
      <c r="K39" s="8" t="str">
        <f>VLOOKUP(D39,RECURSOS_PRECIOS!$A$2:$H$201,6,FALSE)</f>
        <v>mercado</v>
      </c>
    </row>
    <row r="40" spans="1:11" hidden="1" x14ac:dyDescent="0.35">
      <c r="A40" s="14" t="str">
        <f>RENDIMIENTOS_BASE!D40</f>
        <v>APU-TR-001-001</v>
      </c>
      <c r="B40" s="14" t="str">
        <f>RENDIMIENTOS_BASE!B40</f>
        <v>EDT-PRE-005</v>
      </c>
      <c r="C40" s="14" t="str">
        <f>RENDIMIENTOS_BASE!C40</f>
        <v>PK-TR-001-001</v>
      </c>
      <c r="D40" s="14">
        <f>RENDIMIENTOS_BASE!E40</f>
        <v>23</v>
      </c>
      <c r="E40" s="8" t="str">
        <f>VLOOKUP(D40,RECURSOS_PRECIOS!$A$2:$H$201,3,FALSE)</f>
        <v>Material</v>
      </c>
      <c r="F40" s="8" t="str">
        <f>VLOOKUP(D40,RECURSOS_PRECIOS!$A$2:$H$201,2,FALSE)</f>
        <v>Regla 1x4 en 4 varas</v>
      </c>
      <c r="G40" s="8" t="str">
        <f>VLOOKUP(D40,RECURSOS_PRECIOS!$A$2:$H$201,4,FALSE)</f>
        <v>un</v>
      </c>
      <c r="H40" s="10">
        <f>RENDIMIENTOS_BASE!J40</f>
        <v>1.875</v>
      </c>
      <c r="I40" s="10">
        <f>VLOOKUP(D40,RECURSOS_PRECIOS!$A$2:$H$201,5,FALSE)</f>
        <v>8</v>
      </c>
      <c r="J40" s="10">
        <f t="shared" ref="J40:J43" si="8">H40*I40</f>
        <v>15</v>
      </c>
      <c r="K40" s="8" t="str">
        <f>VLOOKUP(D40,RECURSOS_PRECIOS!$A$2:$H$201,6,FALSE)</f>
        <v>mercado</v>
      </c>
    </row>
    <row r="41" spans="1:11" hidden="1" x14ac:dyDescent="0.35">
      <c r="A41" s="14" t="str">
        <f>RENDIMIENTOS_BASE!D41</f>
        <v>APU-TR-001-001</v>
      </c>
      <c r="B41" s="14" t="str">
        <f>RENDIMIENTOS_BASE!B41</f>
        <v>EDT-PRE-005</v>
      </c>
      <c r="C41" s="14" t="str">
        <f>RENDIMIENTOS_BASE!C41</f>
        <v>PK-TR-001-001</v>
      </c>
      <c r="D41" s="14">
        <f>RENDIMIENTOS_BASE!E41</f>
        <v>8</v>
      </c>
      <c r="E41" s="8" t="str">
        <f>VLOOKUP(D41,RECURSOS_PRECIOS!$A$2:$H$201,3,FALSE)</f>
        <v>Mano Obra</v>
      </c>
      <c r="F41" s="8" t="str">
        <f>VLOOKUP(D41,RECURSOS_PRECIOS!$A$2:$H$201,2,FALSE)</f>
        <v>Operario</v>
      </c>
      <c r="G41" s="8" t="str">
        <f>VLOOKUP(D41,RECURSOS_PRECIOS!$A$2:$H$201,4,FALSE)</f>
        <v>hr</v>
      </c>
      <c r="H41" s="10">
        <f>RENDIMIENTOS_BASE!J41</f>
        <v>0.6</v>
      </c>
      <c r="I41" s="10">
        <f>VLOOKUP(D41,RECURSOS_PRECIOS!$A$2:$H$201,5,FALSE)</f>
        <v>6</v>
      </c>
      <c r="J41" s="10">
        <f t="shared" si="8"/>
        <v>3.5999999999999996</v>
      </c>
      <c r="K41" s="8" t="str">
        <f>VLOOKUP(D41,RECURSOS_PRECIOS!$A$2:$H$201,6,FALSE)</f>
        <v>mercado</v>
      </c>
    </row>
    <row r="42" spans="1:11" hidden="1" x14ac:dyDescent="0.35">
      <c r="A42" s="14" t="str">
        <f>RENDIMIENTOS_BASE!D42</f>
        <v>APU-TR-001-001</v>
      </c>
      <c r="B42" s="14" t="str">
        <f>RENDIMIENTOS_BASE!B42</f>
        <v>EDT-PRE-005</v>
      </c>
      <c r="C42" s="14" t="str">
        <f>RENDIMIENTOS_BASE!C42</f>
        <v>PK-TR-001-001</v>
      </c>
      <c r="D42" s="14">
        <f>RENDIMIENTOS_BASE!E42</f>
        <v>9</v>
      </c>
      <c r="E42" s="8" t="str">
        <f>VLOOKUP(D42,RECURSOS_PRECIOS!$A$2:$H$201,3,FALSE)</f>
        <v>Mano Obra</v>
      </c>
      <c r="F42" s="8" t="str">
        <f>VLOOKUP(D42,RECURSOS_PRECIOS!$A$2:$H$201,2,FALSE)</f>
        <v>Ayudante</v>
      </c>
      <c r="G42" s="8" t="str">
        <f>VLOOKUP(D42,RECURSOS_PRECIOS!$A$2:$H$201,4,FALSE)</f>
        <v>hr</v>
      </c>
      <c r="H42" s="10">
        <f>RENDIMIENTOS_BASE!J42</f>
        <v>0.6</v>
      </c>
      <c r="I42" s="10">
        <f>VLOOKUP(D42,RECURSOS_PRECIOS!$A$2:$H$201,5,FALSE)</f>
        <v>5</v>
      </c>
      <c r="J42" s="10">
        <f t="shared" si="8"/>
        <v>3</v>
      </c>
      <c r="K42" s="8" t="str">
        <f>VLOOKUP(D42,RECURSOS_PRECIOS!$A$2:$H$201,6,FALSE)</f>
        <v>mercado</v>
      </c>
    </row>
    <row r="43" spans="1:11" hidden="1" x14ac:dyDescent="0.35">
      <c r="A43" s="14" t="str">
        <f>RENDIMIENTOS_BASE!D43</f>
        <v>APU-TR-001-001</v>
      </c>
      <c r="B43" s="14" t="str">
        <f>RENDIMIENTOS_BASE!B43</f>
        <v>EDT-PRE-005</v>
      </c>
      <c r="C43" s="14" t="str">
        <f>RENDIMIENTOS_BASE!C43</f>
        <v>PK-TR-001-001</v>
      </c>
      <c r="D43" s="14">
        <f>RENDIMIENTOS_BASE!E43</f>
        <v>10</v>
      </c>
      <c r="E43" s="8" t="str">
        <f>VLOOKUP(D43,RECURSOS_PRECIOS!$A$2:$H$201,3,FALSE)</f>
        <v>Mano Obra</v>
      </c>
      <c r="F43" s="8" t="str">
        <f>VLOOKUP(D43,RECURSOS_PRECIOS!$A$2:$H$201,2,FALSE)</f>
        <v>Peon</v>
      </c>
      <c r="G43" s="8" t="str">
        <f>VLOOKUP(D43,RECURSOS_PRECIOS!$A$2:$H$201,4,FALSE)</f>
        <v>hr</v>
      </c>
      <c r="H43" s="10">
        <f>RENDIMIENTOS_BASE!J43</f>
        <v>0.6</v>
      </c>
      <c r="I43" s="10">
        <f>VLOOKUP(D43,RECURSOS_PRECIOS!$A$2:$H$201,5,FALSE)</f>
        <v>4</v>
      </c>
      <c r="J43" s="10">
        <f t="shared" si="8"/>
        <v>2.4</v>
      </c>
      <c r="K43" s="8" t="str">
        <f>VLOOKUP(D43,RECURSOS_PRECIOS!$A$2:$H$201,6,FALSE)</f>
        <v>mercado</v>
      </c>
    </row>
    <row r="44" spans="1:11" x14ac:dyDescent="0.35">
      <c r="A44" s="14" t="str">
        <f>RENDIMIENTOS_BASE!D44</f>
        <v>APU-PC-001-0001</v>
      </c>
      <c r="B44" s="14" t="str">
        <f>RENDIMIENTOS_BASE!B44</f>
        <v>EDT-FUN-001</v>
      </c>
      <c r="C44" s="14" t="str">
        <f>RENDIMIENTOS_BASE!C44</f>
        <v>PK-PC-001-0001</v>
      </c>
      <c r="D44" s="14">
        <f>RENDIMIENTOS_BASE!E44</f>
        <v>21</v>
      </c>
      <c r="E44" s="8" t="str">
        <f>VLOOKUP(D44,RECURSOS_PRECIOS!$A$2:$H$201,3,FALSE)</f>
        <v>Subcontrato</v>
      </c>
      <c r="F44" s="8" t="str">
        <f>VLOOKUP(D44,RECURSOS_PRECIOS!$A$2:$H$201,2,FALSE)</f>
        <v>Back Hoe</v>
      </c>
      <c r="G44" s="8" t="str">
        <f>VLOOKUP(D44,RECURSOS_PRECIOS!$A$2:$H$201,4,FALSE)</f>
        <v>hr</v>
      </c>
      <c r="H44" s="10">
        <f>RENDIMIENTOS_BASE!J44</f>
        <v>0.29249999999999998</v>
      </c>
      <c r="I44" s="10">
        <f>VLOOKUP(D44,RECURSOS_PRECIOS!$A$2:$H$201,5,FALSE)</f>
        <v>30</v>
      </c>
      <c r="J44" s="10">
        <f t="shared" ref="J44" si="9">H44*I44</f>
        <v>8.7749999999999986</v>
      </c>
      <c r="K44" s="8" t="str">
        <f>VLOOKUP(D44,RECURSOS_PRECIOS!$A$2:$H$201,6,FALSE)</f>
        <v>mercado</v>
      </c>
    </row>
    <row r="45" spans="1:11" x14ac:dyDescent="0.35">
      <c r="A45" s="14" t="str">
        <f>RENDIMIENTOS_BASE!D45</f>
        <v>APU-PC-001-0002</v>
      </c>
      <c r="B45" s="14" t="str">
        <f>RENDIMIENTOS_BASE!B45</f>
        <v>EDT-FUN-001</v>
      </c>
      <c r="C45" s="14" t="str">
        <f>RENDIMIENTOS_BASE!C45</f>
        <v>PK-PC-001-0002</v>
      </c>
      <c r="D45" s="14">
        <f>RENDIMIENTOS_BASE!E45</f>
        <v>29</v>
      </c>
      <c r="E45" s="8" t="str">
        <f>VLOOKUP(D45,RECURSOS_PRECIOS!$A$2:$H$201,3,FALSE)</f>
        <v>Material</v>
      </c>
      <c r="F45" s="8" t="str">
        <f>VLOOKUP(D45,RECURSOS_PRECIOS!$A$2:$H$201,2,FALSE)</f>
        <v>Arena</v>
      </c>
      <c r="G45" s="8" t="str">
        <f>VLOOKUP(D45,RECURSOS_PRECIOS!$A$2:$H$201,4,FALSE)</f>
        <v>m3</v>
      </c>
      <c r="H45" s="10">
        <f>RENDIMIENTOS_BASE!J45</f>
        <v>1.3122E-2</v>
      </c>
      <c r="I45" s="10">
        <f>VLOOKUP(D45,RECURSOS_PRECIOS!$A$2:$H$201,5,FALSE)</f>
        <v>28</v>
      </c>
      <c r="J45" s="10">
        <f t="shared" ref="J45:J46" si="10">H45*I45</f>
        <v>0.36741600000000002</v>
      </c>
      <c r="K45" s="8" t="str">
        <f>VLOOKUP(D45,RECURSOS_PRECIOS!$A$2:$H$201,6,FALSE)</f>
        <v>mercado</v>
      </c>
    </row>
    <row r="46" spans="1:11" x14ac:dyDescent="0.35">
      <c r="A46" s="14" t="str">
        <f>RENDIMIENTOS_BASE!D46</f>
        <v>APU-PC-001-0002</v>
      </c>
      <c r="B46" s="14" t="str">
        <f>RENDIMIENTOS_BASE!B46</f>
        <v>EDT-FUN-001</v>
      </c>
      <c r="C46" s="14" t="str">
        <f>RENDIMIENTOS_BASE!C46</f>
        <v>PK-PC-001-0002</v>
      </c>
      <c r="D46" s="14">
        <f>RENDIMIENTOS_BASE!E46</f>
        <v>30</v>
      </c>
      <c r="E46" s="8" t="str">
        <f>VLOOKUP(D46,RECURSOS_PRECIOS!$A$2:$H$201,3,FALSE)</f>
        <v>Material</v>
      </c>
      <c r="F46" s="8" t="str">
        <f>VLOOKUP(D46,RECURSOS_PRECIOS!$A$2:$H$201,2,FALSE)</f>
        <v>Piedra</v>
      </c>
      <c r="G46" s="8" t="str">
        <f>VLOOKUP(D46,RECURSOS_PRECIOS!$A$2:$H$201,4,FALSE)</f>
        <v>m3</v>
      </c>
      <c r="H46" s="10">
        <f>RENDIMIENTOS_BASE!J46</f>
        <v>2.5029000000000003E-2</v>
      </c>
      <c r="I46" s="10">
        <f>VLOOKUP(D46,RECURSOS_PRECIOS!$A$2:$H$201,5,FALSE)</f>
        <v>30</v>
      </c>
      <c r="J46" s="10">
        <f t="shared" si="10"/>
        <v>0.75087000000000004</v>
      </c>
      <c r="K46" s="8" t="str">
        <f>VLOOKUP(D46,RECURSOS_PRECIOS!$A$2:$H$201,6,FALSE)</f>
        <v>mercado</v>
      </c>
    </row>
    <row r="47" spans="1:11" x14ac:dyDescent="0.35">
      <c r="A47" s="14" t="str">
        <f>RENDIMIENTOS_BASE!D47</f>
        <v>APU-PC-001-0002</v>
      </c>
      <c r="B47" s="14" t="str">
        <f>RENDIMIENTOS_BASE!B47</f>
        <v>EDT-FUN-001</v>
      </c>
      <c r="C47" s="14" t="str">
        <f>RENDIMIENTOS_BASE!C47</f>
        <v>PK-PC-001-0002</v>
      </c>
      <c r="D47" s="14">
        <f>RENDIMIENTOS_BASE!E47</f>
        <v>31</v>
      </c>
      <c r="E47" s="8" t="str">
        <f>VLOOKUP(D47,RECURSOS_PRECIOS!$A$2:$H$201,3,FALSE)</f>
        <v>Material</v>
      </c>
      <c r="F47" s="8" t="str">
        <f>VLOOKUP(D47,RECURSOS_PRECIOS!$A$2:$H$201,2,FALSE)</f>
        <v>Cemento</v>
      </c>
      <c r="G47" s="8" t="str">
        <f>VLOOKUP(D47,RECURSOS_PRECIOS!$A$2:$H$201,4,FALSE)</f>
        <v>saco</v>
      </c>
      <c r="H47" s="10">
        <f>RENDIMIENTOS_BASE!J47</f>
        <v>0.1188</v>
      </c>
      <c r="I47" s="10">
        <f>VLOOKUP(D47,RECURSOS_PRECIOS!$A$2:$H$201,5,FALSE)</f>
        <v>12</v>
      </c>
      <c r="J47" s="10">
        <f t="shared" ref="J47" si="11">H47*I47</f>
        <v>1.4256</v>
      </c>
      <c r="K47" s="8" t="str">
        <f>VLOOKUP(D47,RECURSOS_PRECIOS!$A$2:$H$201,6,FALSE)</f>
        <v>mercado</v>
      </c>
    </row>
    <row r="48" spans="1:11" x14ac:dyDescent="0.35">
      <c r="A48" s="14" t="str">
        <f>RENDIMIENTOS_BASE!D48</f>
        <v>APU-PC-001-0002</v>
      </c>
      <c r="B48" s="14" t="str">
        <f>RENDIMIENTOS_BASE!B48</f>
        <v>EDT-FUN-001</v>
      </c>
      <c r="C48" s="14" t="str">
        <f>RENDIMIENTOS_BASE!C48</f>
        <v>PK-PC-001-0002</v>
      </c>
      <c r="D48" s="14">
        <f>RENDIMIENTOS_BASE!E48</f>
        <v>8</v>
      </c>
      <c r="E48" s="8" t="str">
        <f>VLOOKUP(D48,RECURSOS_PRECIOS!$A$2:$H$201,3,FALSE)</f>
        <v>Mano Obra</v>
      </c>
      <c r="F48" s="8" t="str">
        <f>VLOOKUP(D48,RECURSOS_PRECIOS!$A$2:$H$201,2,FALSE)</f>
        <v>Operario</v>
      </c>
      <c r="G48" s="8" t="str">
        <f>VLOOKUP(D48,RECURSOS_PRECIOS!$A$2:$H$201,4,FALSE)</f>
        <v>hr</v>
      </c>
      <c r="H48" s="10">
        <f>RENDIMIENTOS_BASE!J48</f>
        <v>3.9419999999999997E-2</v>
      </c>
      <c r="I48" s="10">
        <f>VLOOKUP(D48,RECURSOS_PRECIOS!$A$2:$H$201,5,FALSE)</f>
        <v>6</v>
      </c>
      <c r="J48" s="10">
        <f t="shared" ref="J48:J50" si="12">H48*I48</f>
        <v>0.23651999999999998</v>
      </c>
      <c r="K48" s="8" t="str">
        <f>VLOOKUP(D48,RECURSOS_PRECIOS!$A$2:$H$201,6,FALSE)</f>
        <v>mercado</v>
      </c>
    </row>
    <row r="49" spans="1:11" x14ac:dyDescent="0.35">
      <c r="A49" s="14" t="str">
        <f>RENDIMIENTOS_BASE!D49</f>
        <v>APU-PC-001-0002</v>
      </c>
      <c r="B49" s="14" t="str">
        <f>RENDIMIENTOS_BASE!B49</f>
        <v>EDT-FUN-001</v>
      </c>
      <c r="C49" s="14" t="str">
        <f>RENDIMIENTOS_BASE!C49</f>
        <v>PK-PC-001-0002</v>
      </c>
      <c r="D49" s="14">
        <f>RENDIMIENTOS_BASE!E49</f>
        <v>9</v>
      </c>
      <c r="E49" s="8" t="str">
        <f>VLOOKUP(D49,RECURSOS_PRECIOS!$A$2:$H$201,3,FALSE)</f>
        <v>Mano Obra</v>
      </c>
      <c r="F49" s="8" t="str">
        <f>VLOOKUP(D49,RECURSOS_PRECIOS!$A$2:$H$201,2,FALSE)</f>
        <v>Ayudante</v>
      </c>
      <c r="G49" s="8" t="str">
        <f>VLOOKUP(D49,RECURSOS_PRECIOS!$A$2:$H$201,4,FALSE)</f>
        <v>hr</v>
      </c>
      <c r="H49" s="10">
        <f>RENDIMIENTOS_BASE!J49</f>
        <v>3.9419999999999997E-2</v>
      </c>
      <c r="I49" s="10">
        <f>VLOOKUP(D49,RECURSOS_PRECIOS!$A$2:$H$201,5,FALSE)</f>
        <v>5</v>
      </c>
      <c r="J49" s="10">
        <f t="shared" si="12"/>
        <v>0.1971</v>
      </c>
      <c r="K49" s="8" t="str">
        <f>VLOOKUP(D49,RECURSOS_PRECIOS!$A$2:$H$201,6,FALSE)</f>
        <v>mercado</v>
      </c>
    </row>
    <row r="50" spans="1:11" x14ac:dyDescent="0.35">
      <c r="A50" s="14" t="str">
        <f>RENDIMIENTOS_BASE!D50</f>
        <v>APU-PC-001-0002</v>
      </c>
      <c r="B50" s="14" t="str">
        <f>RENDIMIENTOS_BASE!B50</f>
        <v>EDT-FUN-001</v>
      </c>
      <c r="C50" s="14" t="str">
        <f>RENDIMIENTOS_BASE!C50</f>
        <v>PK-PC-001-0002</v>
      </c>
      <c r="D50" s="14">
        <f>RENDIMIENTOS_BASE!E50</f>
        <v>10</v>
      </c>
      <c r="E50" s="8" t="str">
        <f>VLOOKUP(D50,RECURSOS_PRECIOS!$A$2:$H$201,3,FALSE)</f>
        <v>Mano Obra</v>
      </c>
      <c r="F50" s="8" t="str">
        <f>VLOOKUP(D50,RECURSOS_PRECIOS!$A$2:$H$201,2,FALSE)</f>
        <v>Peon</v>
      </c>
      <c r="G50" s="8" t="str">
        <f>VLOOKUP(D50,RECURSOS_PRECIOS!$A$2:$H$201,4,FALSE)</f>
        <v>hr</v>
      </c>
      <c r="H50" s="10">
        <f>RENDIMIENTOS_BASE!J50</f>
        <v>0.15794999999999998</v>
      </c>
      <c r="I50" s="10">
        <f>VLOOKUP(D50,RECURSOS_PRECIOS!$A$2:$H$201,5,FALSE)</f>
        <v>4</v>
      </c>
      <c r="J50" s="10">
        <f t="shared" si="12"/>
        <v>0.63179999999999992</v>
      </c>
      <c r="K50" s="8" t="str">
        <f>VLOOKUP(D50,RECURSOS_PRECIOS!$A$2:$H$201,6,FALSE)</f>
        <v>mercado</v>
      </c>
    </row>
    <row r="51" spans="1:11" x14ac:dyDescent="0.35">
      <c r="A51" s="14" t="str">
        <f>RENDIMIENTOS_BASE!D51</f>
        <v>APU-PC-001-0003</v>
      </c>
      <c r="B51" s="14" t="str">
        <f>RENDIMIENTOS_BASE!B51</f>
        <v>EDT-FUN-001</v>
      </c>
      <c r="C51" s="14" t="str">
        <f>RENDIMIENTOS_BASE!C51</f>
        <v>PK-PC-001-0003</v>
      </c>
      <c r="D51" s="14">
        <f>RENDIMIENTOS_BASE!E51</f>
        <v>32</v>
      </c>
      <c r="E51" s="8" t="str">
        <f>VLOOKUP(D51,RECURSOS_PRECIOS!$A$2:$H$201,3,FALSE)</f>
        <v>Material</v>
      </c>
      <c r="F51" s="8" t="str">
        <f>VLOOKUP(D51,RECURSOS_PRECIOS!$A$2:$H$201,2,FALSE)</f>
        <v>Varilla Corrugada N°3</v>
      </c>
      <c r="G51" s="8" t="str">
        <f>VLOOKUP(D51,RECURSOS_PRECIOS!$A$2:$H$201,4,FALSE)</f>
        <v>un</v>
      </c>
      <c r="H51" s="10">
        <f>RENDIMIENTOS_BASE!J51</f>
        <v>0.82499999999999996</v>
      </c>
      <c r="I51" s="10">
        <f>VLOOKUP(D51,RECURSOS_PRECIOS!$A$2:$H$201,5,FALSE)</f>
        <v>8.6</v>
      </c>
      <c r="J51" s="10">
        <f t="shared" ref="J51:J54" si="13">H51*I51</f>
        <v>7.0949999999999998</v>
      </c>
      <c r="K51" s="8" t="str">
        <f>VLOOKUP(D51,RECURSOS_PRECIOS!$A$2:$H$201,6,FALSE)</f>
        <v>mercado</v>
      </c>
    </row>
    <row r="52" spans="1:11" x14ac:dyDescent="0.35">
      <c r="A52" s="14" t="str">
        <f>RENDIMIENTOS_BASE!D52</f>
        <v>APU-PC-001-0003</v>
      </c>
      <c r="B52" s="14" t="str">
        <f>RENDIMIENTOS_BASE!B52</f>
        <v>EDT-FUN-001</v>
      </c>
      <c r="C52" s="14" t="str">
        <f>RENDIMIENTOS_BASE!C52</f>
        <v>PK-PC-001-0003</v>
      </c>
      <c r="D52" s="14">
        <f>RENDIMIENTOS_BASE!E52</f>
        <v>33</v>
      </c>
      <c r="E52" s="8" t="str">
        <f>VLOOKUP(D52,RECURSOS_PRECIOS!$A$2:$H$201,3,FALSE)</f>
        <v>Material</v>
      </c>
      <c r="F52" s="8" t="str">
        <f>VLOOKUP(D52,RECURSOS_PRECIOS!$A$2:$H$201,2,FALSE)</f>
        <v>Alambre Negro</v>
      </c>
      <c r="G52" s="8" t="str">
        <f>VLOOKUP(D52,RECURSOS_PRECIOS!$A$2:$H$201,4,FALSE)</f>
        <v>kg</v>
      </c>
      <c r="H52" s="10">
        <f>RENDIMIENTOS_BASE!J52</f>
        <v>8.2500000000000018E-2</v>
      </c>
      <c r="I52" s="10">
        <f>VLOOKUP(D52,RECURSOS_PRECIOS!$A$2:$H$201,5,FALSE)</f>
        <v>3.56</v>
      </c>
      <c r="J52" s="10">
        <f t="shared" si="13"/>
        <v>0.29370000000000007</v>
      </c>
      <c r="K52" s="8" t="str">
        <f>VLOOKUP(D52,RECURSOS_PRECIOS!$A$2:$H$201,6,FALSE)</f>
        <v>mercado</v>
      </c>
    </row>
    <row r="53" spans="1:11" x14ac:dyDescent="0.35">
      <c r="A53" s="14" t="str">
        <f>RENDIMIENTOS_BASE!D53</f>
        <v>APU-PC-001-0003</v>
      </c>
      <c r="B53" s="14" t="str">
        <f>RENDIMIENTOS_BASE!B53</f>
        <v>EDT-FUN-001</v>
      </c>
      <c r="C53" s="14" t="str">
        <f>RENDIMIENTOS_BASE!C53</f>
        <v>PK-PC-001-0003</v>
      </c>
      <c r="D53" s="14">
        <f>RENDIMIENTOS_BASE!E53</f>
        <v>8</v>
      </c>
      <c r="E53" s="8" t="str">
        <f>VLOOKUP(D53,RECURSOS_PRECIOS!$A$2:$H$201,3,FALSE)</f>
        <v>Mano Obra</v>
      </c>
      <c r="F53" s="8" t="str">
        <f>VLOOKUP(D53,RECURSOS_PRECIOS!$A$2:$H$201,2,FALSE)</f>
        <v>Operario</v>
      </c>
      <c r="G53" s="8" t="str">
        <f>VLOOKUP(D53,RECURSOS_PRECIOS!$A$2:$H$201,4,FALSE)</f>
        <v>hr</v>
      </c>
      <c r="H53" s="10">
        <f>RENDIMIENTOS_BASE!J53</f>
        <v>0.25</v>
      </c>
      <c r="I53" s="10">
        <f>VLOOKUP(D53,RECURSOS_PRECIOS!$A$2:$H$201,5,FALSE)</f>
        <v>6</v>
      </c>
      <c r="J53" s="10">
        <f t="shared" si="13"/>
        <v>1.5</v>
      </c>
      <c r="K53" s="8" t="str">
        <f>VLOOKUP(D53,RECURSOS_PRECIOS!$A$2:$H$201,6,FALSE)</f>
        <v>mercado</v>
      </c>
    </row>
    <row r="54" spans="1:11" x14ac:dyDescent="0.35">
      <c r="A54" s="14" t="str">
        <f>RENDIMIENTOS_BASE!D54</f>
        <v>APU-PC-001-0003</v>
      </c>
      <c r="B54" s="14" t="str">
        <f>RENDIMIENTOS_BASE!B54</f>
        <v>EDT-FUN-001</v>
      </c>
      <c r="C54" s="14" t="str">
        <f>RENDIMIENTOS_BASE!C54</f>
        <v>PK-PC-001-0003</v>
      </c>
      <c r="D54" s="14">
        <f>RENDIMIENTOS_BASE!E54</f>
        <v>10</v>
      </c>
      <c r="E54" s="8" t="str">
        <f>VLOOKUP(D54,RECURSOS_PRECIOS!$A$2:$H$201,3,FALSE)</f>
        <v>Mano Obra</v>
      </c>
      <c r="F54" s="8" t="str">
        <f>VLOOKUP(D54,RECURSOS_PRECIOS!$A$2:$H$201,2,FALSE)</f>
        <v>Peon</v>
      </c>
      <c r="G54" s="8" t="str">
        <f>VLOOKUP(D54,RECURSOS_PRECIOS!$A$2:$H$201,4,FALSE)</f>
        <v>hr</v>
      </c>
      <c r="H54" s="10">
        <f>RENDIMIENTOS_BASE!J54</f>
        <v>0.11000000000000001</v>
      </c>
      <c r="I54" s="10">
        <f>VLOOKUP(D54,RECURSOS_PRECIOS!$A$2:$H$201,5,FALSE)</f>
        <v>4</v>
      </c>
      <c r="J54" s="10">
        <f t="shared" si="13"/>
        <v>0.44000000000000006</v>
      </c>
      <c r="K54" s="8" t="str">
        <f>VLOOKUP(D54,RECURSOS_PRECIOS!$A$2:$H$201,6,FALSE)</f>
        <v>mercado</v>
      </c>
    </row>
    <row r="55" spans="1:11" x14ac:dyDescent="0.35">
      <c r="A55" s="14" t="str">
        <f>RENDIMIENTOS_BASE!D55</f>
        <v>APU-PC-001-0004</v>
      </c>
      <c r="B55" s="14" t="str">
        <f>RENDIMIENTOS_BASE!B55</f>
        <v>EDT-FUN-001</v>
      </c>
      <c r="C55" s="14" t="str">
        <f>RENDIMIENTOS_BASE!C55</f>
        <v>PK-PC-001-0004</v>
      </c>
      <c r="D55" s="14">
        <f>RENDIMIENTOS_BASE!E55</f>
        <v>29</v>
      </c>
      <c r="E55" s="8" t="str">
        <f>VLOOKUP(D55,RECURSOS_PRECIOS!$A$2:$H$201,3,FALSE)</f>
        <v>Material</v>
      </c>
      <c r="F55" s="8" t="str">
        <f>VLOOKUP(D55,RECURSOS_PRECIOS!$A$2:$H$201,2,FALSE)</f>
        <v>Arena</v>
      </c>
      <c r="G55" s="8" t="str">
        <f>VLOOKUP(D55,RECURSOS_PRECIOS!$A$2:$H$201,4,FALSE)</f>
        <v>m3</v>
      </c>
      <c r="H55" s="10">
        <f>RENDIMIENTOS_BASE!J55</f>
        <v>3.5867999999999997E-2</v>
      </c>
      <c r="I55" s="10">
        <f>VLOOKUP(D55,RECURSOS_PRECIOS!$A$2:$H$201,5,FALSE)</f>
        <v>28</v>
      </c>
      <c r="J55" s="10">
        <f t="shared" ref="J55:J60" si="14">H55*I55</f>
        <v>1.0043039999999999</v>
      </c>
      <c r="K55" s="8" t="str">
        <f>VLOOKUP(D55,RECURSOS_PRECIOS!$A$2:$H$201,6,FALSE)</f>
        <v>mercado</v>
      </c>
    </row>
    <row r="56" spans="1:11" x14ac:dyDescent="0.35">
      <c r="A56" s="14" t="str">
        <f>RENDIMIENTOS_BASE!D56</f>
        <v>APU-PC-001-0004</v>
      </c>
      <c r="B56" s="14" t="str">
        <f>RENDIMIENTOS_BASE!B56</f>
        <v>EDT-FUN-001</v>
      </c>
      <c r="C56" s="14" t="str">
        <f>RENDIMIENTOS_BASE!C56</f>
        <v>PK-PC-001-0004</v>
      </c>
      <c r="D56" s="14">
        <f>RENDIMIENTOS_BASE!E56</f>
        <v>30</v>
      </c>
      <c r="E56" s="8" t="str">
        <f>VLOOKUP(D56,RECURSOS_PRECIOS!$A$2:$H$201,3,FALSE)</f>
        <v>Material</v>
      </c>
      <c r="F56" s="8" t="str">
        <f>VLOOKUP(D56,RECURSOS_PRECIOS!$A$2:$H$201,2,FALSE)</f>
        <v>Piedra</v>
      </c>
      <c r="G56" s="8" t="str">
        <f>VLOOKUP(D56,RECURSOS_PRECIOS!$A$2:$H$201,4,FALSE)</f>
        <v>m3</v>
      </c>
      <c r="H56" s="10">
        <f>RENDIMIENTOS_BASE!J56</f>
        <v>7.1735999999999994E-2</v>
      </c>
      <c r="I56" s="10">
        <f>VLOOKUP(D56,RECURSOS_PRECIOS!$A$2:$H$201,5,FALSE)</f>
        <v>30</v>
      </c>
      <c r="J56" s="10">
        <f t="shared" si="14"/>
        <v>2.1520799999999998</v>
      </c>
      <c r="K56" s="8" t="str">
        <f>VLOOKUP(D56,RECURSOS_PRECIOS!$A$2:$H$201,6,FALSE)</f>
        <v>mercado</v>
      </c>
    </row>
    <row r="57" spans="1:11" x14ac:dyDescent="0.35">
      <c r="A57" s="14" t="str">
        <f>RENDIMIENTOS_BASE!D57</f>
        <v>APU-PC-001-0004</v>
      </c>
      <c r="B57" s="14" t="str">
        <f>RENDIMIENTOS_BASE!B57</f>
        <v>EDT-FUN-001</v>
      </c>
      <c r="C57" s="14" t="str">
        <f>RENDIMIENTOS_BASE!C57</f>
        <v>PK-PC-001-0004</v>
      </c>
      <c r="D57" s="14">
        <f>RENDIMIENTOS_BASE!E57</f>
        <v>31</v>
      </c>
      <c r="E57" s="8" t="str">
        <f>VLOOKUP(D57,RECURSOS_PRECIOS!$A$2:$H$201,3,FALSE)</f>
        <v>Material</v>
      </c>
      <c r="F57" s="8" t="str">
        <f>VLOOKUP(D57,RECURSOS_PRECIOS!$A$2:$H$201,2,FALSE)</f>
        <v>Cemento</v>
      </c>
      <c r="G57" s="8" t="str">
        <f>VLOOKUP(D57,RECURSOS_PRECIOS!$A$2:$H$201,4,FALSE)</f>
        <v>saco</v>
      </c>
      <c r="H57" s="10">
        <f>RENDIMIENTOS_BASE!J57</f>
        <v>0.64259999999999995</v>
      </c>
      <c r="I57" s="10">
        <f>VLOOKUP(D57,RECURSOS_PRECIOS!$A$2:$H$201,5,FALSE)</f>
        <v>12</v>
      </c>
      <c r="J57" s="10">
        <f t="shared" si="14"/>
        <v>7.7111999999999998</v>
      </c>
      <c r="K57" s="8" t="str">
        <f>VLOOKUP(D57,RECURSOS_PRECIOS!$A$2:$H$201,6,FALSE)</f>
        <v>mercado</v>
      </c>
    </row>
    <row r="58" spans="1:11" x14ac:dyDescent="0.35">
      <c r="A58" s="14" t="str">
        <f>RENDIMIENTOS_BASE!D58</f>
        <v>APU-PC-001-0004</v>
      </c>
      <c r="B58" s="14" t="str">
        <f>RENDIMIENTOS_BASE!B58</f>
        <v>EDT-FUN-001</v>
      </c>
      <c r="C58" s="14" t="str">
        <f>RENDIMIENTOS_BASE!C58</f>
        <v>PK-PC-001-0004</v>
      </c>
      <c r="D58" s="14">
        <f>RENDIMIENTOS_BASE!E58</f>
        <v>8</v>
      </c>
      <c r="E58" s="8" t="str">
        <f>VLOOKUP(D58,RECURSOS_PRECIOS!$A$2:$H$201,3,FALSE)</f>
        <v>Mano Obra</v>
      </c>
      <c r="F58" s="8" t="str">
        <f>VLOOKUP(D58,RECURSOS_PRECIOS!$A$2:$H$201,2,FALSE)</f>
        <v>Operario</v>
      </c>
      <c r="G58" s="8" t="str">
        <f>VLOOKUP(D58,RECURSOS_PRECIOS!$A$2:$H$201,4,FALSE)</f>
        <v>hr</v>
      </c>
      <c r="H58" s="10">
        <f>RENDIMIENTOS_BASE!J58</f>
        <v>0.126</v>
      </c>
      <c r="I58" s="10">
        <f>VLOOKUP(D58,RECURSOS_PRECIOS!$A$2:$H$201,5,FALSE)</f>
        <v>6</v>
      </c>
      <c r="J58" s="10">
        <f t="shared" si="14"/>
        <v>0.75600000000000001</v>
      </c>
      <c r="K58" s="8" t="str">
        <f>VLOOKUP(D58,RECURSOS_PRECIOS!$A$2:$H$201,6,FALSE)</f>
        <v>mercado</v>
      </c>
    </row>
    <row r="59" spans="1:11" x14ac:dyDescent="0.35">
      <c r="A59" s="14" t="str">
        <f>RENDIMIENTOS_BASE!D59</f>
        <v>APU-PC-001-0004</v>
      </c>
      <c r="B59" s="14" t="str">
        <f>RENDIMIENTOS_BASE!B59</f>
        <v>EDT-FUN-001</v>
      </c>
      <c r="C59" s="14" t="str">
        <f>RENDIMIENTOS_BASE!C59</f>
        <v>PK-PC-001-0004</v>
      </c>
      <c r="D59" s="14">
        <f>RENDIMIENTOS_BASE!E59</f>
        <v>9</v>
      </c>
      <c r="E59" s="8" t="str">
        <f>VLOOKUP(D59,RECURSOS_PRECIOS!$A$2:$H$201,3,FALSE)</f>
        <v>Mano Obra</v>
      </c>
      <c r="F59" s="8" t="str">
        <f>VLOOKUP(D59,RECURSOS_PRECIOS!$A$2:$H$201,2,FALSE)</f>
        <v>Ayudante</v>
      </c>
      <c r="G59" s="8" t="str">
        <f>VLOOKUP(D59,RECURSOS_PRECIOS!$A$2:$H$201,4,FALSE)</f>
        <v>hr</v>
      </c>
      <c r="H59" s="10">
        <f>RENDIMIENTOS_BASE!J59</f>
        <v>0.12095999999999998</v>
      </c>
      <c r="I59" s="10">
        <f>VLOOKUP(D59,RECURSOS_PRECIOS!$A$2:$H$201,5,FALSE)</f>
        <v>5</v>
      </c>
      <c r="J59" s="10">
        <f t="shared" si="14"/>
        <v>0.60479999999999989</v>
      </c>
      <c r="K59" s="8" t="str">
        <f>VLOOKUP(D59,RECURSOS_PRECIOS!$A$2:$H$201,6,FALSE)</f>
        <v>mercado</v>
      </c>
    </row>
    <row r="60" spans="1:11" x14ac:dyDescent="0.35">
      <c r="A60" s="14" t="str">
        <f>RENDIMIENTOS_BASE!D60</f>
        <v>APU-PC-001-0004</v>
      </c>
      <c r="B60" s="14" t="str">
        <f>RENDIMIENTOS_BASE!B60</f>
        <v>EDT-FUN-001</v>
      </c>
      <c r="C60" s="14" t="str">
        <f>RENDIMIENTOS_BASE!C60</f>
        <v>PK-PC-001-0004</v>
      </c>
      <c r="D60" s="14">
        <f>RENDIMIENTOS_BASE!E60</f>
        <v>10</v>
      </c>
      <c r="E60" s="8" t="str">
        <f>VLOOKUP(D60,RECURSOS_PRECIOS!$A$2:$H$201,3,FALSE)</f>
        <v>Mano Obra</v>
      </c>
      <c r="F60" s="8" t="str">
        <f>VLOOKUP(D60,RECURSOS_PRECIOS!$A$2:$H$201,2,FALSE)</f>
        <v>Peon</v>
      </c>
      <c r="G60" s="8" t="str">
        <f>VLOOKUP(D60,RECURSOS_PRECIOS!$A$2:$H$201,4,FALSE)</f>
        <v>hr</v>
      </c>
      <c r="H60" s="10">
        <f>RENDIMIENTOS_BASE!J60</f>
        <v>0.31499999999999995</v>
      </c>
      <c r="I60" s="10">
        <f>VLOOKUP(D60,RECURSOS_PRECIOS!$A$2:$H$201,5,FALSE)</f>
        <v>4</v>
      </c>
      <c r="J60" s="10">
        <f t="shared" si="14"/>
        <v>1.2599999999999998</v>
      </c>
      <c r="K60" s="8" t="str">
        <f>VLOOKUP(D60,RECURSOS_PRECIOS!$A$2:$H$201,6,FALSE)</f>
        <v>mercado</v>
      </c>
    </row>
    <row r="61" spans="1:11" hidden="1" x14ac:dyDescent="0.35">
      <c r="A61" s="14" t="str">
        <f>RENDIMIENTOS_BASE!D61</f>
        <v>APU-PC-002-0001</v>
      </c>
      <c r="B61" s="14" t="str">
        <f>RENDIMIENTOS_BASE!B61</f>
        <v>EDT-FUN-002</v>
      </c>
      <c r="C61" s="14" t="str">
        <f>RENDIMIENTOS_BASE!C61</f>
        <v>PK-PC-002-0001</v>
      </c>
      <c r="D61" s="14">
        <f>RENDIMIENTOS_BASE!E61</f>
        <v>34</v>
      </c>
      <c r="E61" s="8" t="str">
        <f>VLOOKUP(D61,RECURSOS_PRECIOS!$A$2:$H$201,3,FALSE)</f>
        <v>Material</v>
      </c>
      <c r="F61" s="8" t="str">
        <f>VLOOKUP(D61,RECURSOS_PRECIOS!$A$2:$H$201,2,FALSE)</f>
        <v>Bloque 12x20x40</v>
      </c>
      <c r="G61" s="8" t="str">
        <f>VLOOKUP(D61,RECURSOS_PRECIOS!$A$2:$H$201,4,FALSE)</f>
        <v>un</v>
      </c>
      <c r="H61" s="10">
        <f>RENDIMIENTOS_BASE!J61</f>
        <v>5.0000000000000009</v>
      </c>
      <c r="I61" s="10">
        <f>VLOOKUP(D61,RECURSOS_PRECIOS!$A$2:$H$201,5,FALSE)</f>
        <v>1.02</v>
      </c>
      <c r="J61" s="10">
        <f t="shared" ref="J61:J62" si="15">H61*I61</f>
        <v>5.1000000000000014</v>
      </c>
      <c r="K61" s="8" t="str">
        <f>VLOOKUP(D61,RECURSOS_PRECIOS!$A$2:$H$201,6,FALSE)</f>
        <v>mercado</v>
      </c>
    </row>
    <row r="62" spans="1:11" hidden="1" x14ac:dyDescent="0.35">
      <c r="A62" s="14" t="str">
        <f>RENDIMIENTOS_BASE!D62</f>
        <v>APU-PC-002-0001</v>
      </c>
      <c r="B62" s="14" t="str">
        <f>RENDIMIENTOS_BASE!B62</f>
        <v>EDT-FUN-002</v>
      </c>
      <c r="C62" s="14" t="str">
        <f>RENDIMIENTOS_BASE!C62</f>
        <v>PK-PC-002-0001</v>
      </c>
      <c r="D62" s="14">
        <f>RENDIMIENTOS_BASE!E62</f>
        <v>35</v>
      </c>
      <c r="E62" s="8" t="str">
        <f>VLOOKUP(D62,RECURSOS_PRECIOS!$A$2:$H$201,3,FALSE)</f>
        <v>Material</v>
      </c>
      <c r="F62" s="8" t="str">
        <f>VLOOKUP(D62,RECURSOS_PRECIOS!$A$2:$H$201,2,FALSE)</f>
        <v>Mortero Pega Bloque</v>
      </c>
      <c r="G62" s="8" t="str">
        <f>VLOOKUP(D62,RECURSOS_PRECIOS!$A$2:$H$201,4,FALSE)</f>
        <v>un</v>
      </c>
      <c r="H62" s="10">
        <f>RENDIMIENTOS_BASE!J62</f>
        <v>0.10000000000000002</v>
      </c>
      <c r="I62" s="10">
        <f>VLOOKUP(D62,RECURSOS_PRECIOS!$A$2:$H$201,5,FALSE)</f>
        <v>5.8</v>
      </c>
      <c r="J62" s="10">
        <f t="shared" si="15"/>
        <v>0.58000000000000007</v>
      </c>
      <c r="K62" s="8" t="str">
        <f>VLOOKUP(D62,RECURSOS_PRECIOS!$A$2:$H$201,6,FALSE)</f>
        <v>mercado</v>
      </c>
    </row>
    <row r="63" spans="1:11" hidden="1" x14ac:dyDescent="0.35">
      <c r="A63" s="14" t="str">
        <f>RENDIMIENTOS_BASE!D63</f>
        <v>APU-PC-002-0001</v>
      </c>
      <c r="B63" s="14" t="str">
        <f>RENDIMIENTOS_BASE!B63</f>
        <v>EDT-FUN-002</v>
      </c>
      <c r="C63" s="14" t="str">
        <f>RENDIMIENTOS_BASE!C63</f>
        <v>PK-PC-002-0001</v>
      </c>
      <c r="D63" s="14">
        <f>RENDIMIENTOS_BASE!E63</f>
        <v>8</v>
      </c>
      <c r="E63" s="8" t="str">
        <f>VLOOKUP(D63,RECURSOS_PRECIOS!$A$2:$H$201,3,FALSE)</f>
        <v>Mano Obra</v>
      </c>
      <c r="F63" s="8" t="str">
        <f>VLOOKUP(D63,RECURSOS_PRECIOS!$A$2:$H$201,2,FALSE)</f>
        <v>Operario</v>
      </c>
      <c r="G63" s="8" t="str">
        <f>VLOOKUP(D63,RECURSOS_PRECIOS!$A$2:$H$201,4,FALSE)</f>
        <v>hr</v>
      </c>
      <c r="H63" s="10">
        <f>RENDIMIENTOS_BASE!J63</f>
        <v>0.22800000000000004</v>
      </c>
      <c r="I63" s="10">
        <f>VLOOKUP(D63,RECURSOS_PRECIOS!$A$2:$H$201,5,FALSE)</f>
        <v>6</v>
      </c>
      <c r="J63" s="10">
        <f t="shared" ref="J63:J65" si="16">H63*I63</f>
        <v>1.3680000000000003</v>
      </c>
      <c r="K63" s="8" t="str">
        <f>VLOOKUP(D63,RECURSOS_PRECIOS!$A$2:$H$201,6,FALSE)</f>
        <v>mercado</v>
      </c>
    </row>
    <row r="64" spans="1:11" hidden="1" x14ac:dyDescent="0.35">
      <c r="A64" s="14" t="str">
        <f>RENDIMIENTOS_BASE!D64</f>
        <v>APU-PC-002-0001</v>
      </c>
      <c r="B64" s="14" t="str">
        <f>RENDIMIENTOS_BASE!B64</f>
        <v>EDT-FUN-002</v>
      </c>
      <c r="C64" s="14" t="str">
        <f>RENDIMIENTOS_BASE!C64</f>
        <v>PK-PC-002-0001</v>
      </c>
      <c r="D64" s="14">
        <f>RENDIMIENTOS_BASE!E64</f>
        <v>9</v>
      </c>
      <c r="E64" s="8" t="str">
        <f>VLOOKUP(D64,RECURSOS_PRECIOS!$A$2:$H$201,3,FALSE)</f>
        <v>Mano Obra</v>
      </c>
      <c r="F64" s="8" t="str">
        <f>VLOOKUP(D64,RECURSOS_PRECIOS!$A$2:$H$201,2,FALSE)</f>
        <v>Ayudante</v>
      </c>
      <c r="G64" s="8" t="str">
        <f>VLOOKUP(D64,RECURSOS_PRECIOS!$A$2:$H$201,4,FALSE)</f>
        <v>hr</v>
      </c>
      <c r="H64" s="10">
        <f>RENDIMIENTOS_BASE!J64</f>
        <v>0.14800000000000002</v>
      </c>
      <c r="I64" s="10">
        <f>VLOOKUP(D64,RECURSOS_PRECIOS!$A$2:$H$201,5,FALSE)</f>
        <v>5</v>
      </c>
      <c r="J64" s="10">
        <f t="shared" si="16"/>
        <v>0.7400000000000001</v>
      </c>
      <c r="K64" s="8" t="str">
        <f>VLOOKUP(D64,RECURSOS_PRECIOS!$A$2:$H$201,6,FALSE)</f>
        <v>mercado</v>
      </c>
    </row>
    <row r="65" spans="1:11" hidden="1" x14ac:dyDescent="0.35">
      <c r="A65" s="14" t="str">
        <f>RENDIMIENTOS_BASE!D65</f>
        <v>APU-PC-002-0001</v>
      </c>
      <c r="B65" s="14" t="str">
        <f>RENDIMIENTOS_BASE!B65</f>
        <v>EDT-FUN-002</v>
      </c>
      <c r="C65" s="14" t="str">
        <f>RENDIMIENTOS_BASE!C65</f>
        <v>PK-PC-002-0001</v>
      </c>
      <c r="D65" s="14">
        <f>RENDIMIENTOS_BASE!E65</f>
        <v>10</v>
      </c>
      <c r="E65" s="8" t="str">
        <f>VLOOKUP(D65,RECURSOS_PRECIOS!$A$2:$H$201,3,FALSE)</f>
        <v>Mano Obra</v>
      </c>
      <c r="F65" s="8" t="str">
        <f>VLOOKUP(D65,RECURSOS_PRECIOS!$A$2:$H$201,2,FALSE)</f>
        <v>Peon</v>
      </c>
      <c r="G65" s="8" t="str">
        <f>VLOOKUP(D65,RECURSOS_PRECIOS!$A$2:$H$201,4,FALSE)</f>
        <v>hr</v>
      </c>
      <c r="H65" s="10">
        <f>RENDIMIENTOS_BASE!J65</f>
        <v>0.18800000000000006</v>
      </c>
      <c r="I65" s="10">
        <f>VLOOKUP(D65,RECURSOS_PRECIOS!$A$2:$H$201,5,FALSE)</f>
        <v>4</v>
      </c>
      <c r="J65" s="10">
        <f t="shared" si="16"/>
        <v>0.75200000000000022</v>
      </c>
      <c r="K65" s="8" t="str">
        <f>VLOOKUP(D65,RECURSOS_PRECIOS!$A$2:$H$201,6,FALSE)</f>
        <v>mercado</v>
      </c>
    </row>
  </sheetData>
  <autoFilter ref="A1:K65" xr:uid="{00000000-0001-0000-0700-000000000000}">
    <filterColumn colId="1">
      <filters>
        <filter val="EDT-FUN-001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"/>
  <sheetViews>
    <sheetView showGridLines="0" tabSelected="1" topLeftCell="F1" workbookViewId="0">
      <selection activeCell="N7" sqref="N7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22" customWidth="1"/>
    <col min="4" max="4" width="34.08984375" customWidth="1"/>
    <col min="5" max="5" width="12" customWidth="1"/>
    <col min="6" max="6" width="10" customWidth="1"/>
    <col min="7" max="7" width="16" customWidth="1"/>
    <col min="8" max="8" width="22.6328125" customWidth="1"/>
    <col min="9" max="9" width="21.08984375" customWidth="1"/>
    <col min="10" max="10" width="16" customWidth="1"/>
    <col min="11" max="11" width="22.453125" customWidth="1"/>
    <col min="12" max="12" width="16" customWidth="1"/>
    <col min="13" max="13" width="23.36328125" customWidth="1"/>
    <col min="14" max="14" width="16" customWidth="1"/>
  </cols>
  <sheetData>
    <row r="1" spans="1:14" ht="29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86</v>
      </c>
      <c r="F1" s="3" t="s">
        <v>18</v>
      </c>
      <c r="G1" s="3" t="s">
        <v>210</v>
      </c>
      <c r="H1" s="3" t="s">
        <v>211</v>
      </c>
      <c r="I1" s="3" t="s">
        <v>212</v>
      </c>
      <c r="J1" s="3" t="s">
        <v>213</v>
      </c>
      <c r="K1" s="3" t="s">
        <v>214</v>
      </c>
      <c r="L1" s="3" t="s">
        <v>215</v>
      </c>
      <c r="M1" s="3" t="s">
        <v>216</v>
      </c>
      <c r="N1" s="3" t="s">
        <v>217</v>
      </c>
    </row>
    <row r="2" spans="1:14" x14ac:dyDescent="0.35">
      <c r="A2" s="14" t="str">
        <f>EDT!A2</f>
        <v>EDT-PRE-001</v>
      </c>
      <c r="B2" s="14" t="str">
        <f>EDT!B2</f>
        <v>PRELIMINARES</v>
      </c>
      <c r="C2" s="14" t="str">
        <f>EDT!C2</f>
        <v>SERVICIOS TEMPORALES</v>
      </c>
      <c r="D2" s="14" t="str">
        <f>EDT!D2</f>
        <v>AGUA PROVISIONAL</v>
      </c>
      <c r="E2" s="14" t="str">
        <f>EDT!E2</f>
        <v>un</v>
      </c>
      <c r="F2" s="7">
        <f>EDT!F2</f>
        <v>1</v>
      </c>
      <c r="G2" s="10">
        <f>SUMIFS(APU_DETALLE!$J$2:$J$194,APU_DETALLE!$B$2:$B$194,$A2,APU_DETALLE!$E$2:$E$194,"Material")</f>
        <v>151.68333333333334</v>
      </c>
      <c r="H2" s="10">
        <f>SUMIFS(APU_DETALLE!$J$2:$J$194,APU_DETALLE!$B$2:$B$194,$A2,APU_DETALLE!$E$2:$E$194,"Mano Obra")</f>
        <v>45</v>
      </c>
      <c r="I2" s="10">
        <f>SUMIFS(APU_DETALLE!$J$2:$J$194,APU_DETALLE!$B$2:$B$194,$A2,APU_DETALLE!$E$2:$E$194,"Subcontrato")</f>
        <v>0</v>
      </c>
      <c r="J2" s="10">
        <f>G2+H2+I2</f>
        <v>196.68333333333334</v>
      </c>
      <c r="K2" s="10" cm="1">
        <f t="array" ref="K2:K9">G2:G9*$F$2:$F$9</f>
        <v>151.68333333333334</v>
      </c>
      <c r="L2" s="10" cm="1">
        <f t="array" ref="L2:L9">H2:H9*$F$2:$F$9</f>
        <v>45</v>
      </c>
      <c r="M2" s="10" cm="1">
        <f t="array" ref="M2:M9">I2:I9*$F$2:$F$9</f>
        <v>0</v>
      </c>
      <c r="N2" s="10">
        <f>K2+L2+M2</f>
        <v>196.68333333333334</v>
      </c>
    </row>
    <row r="3" spans="1:14" x14ac:dyDescent="0.35">
      <c r="A3" s="14" t="str">
        <f>EDT!A3</f>
        <v>EDT-PRE-002</v>
      </c>
      <c r="B3" s="14" t="str">
        <f>EDT!B3</f>
        <v>PRELIMINARES</v>
      </c>
      <c r="C3" s="14" t="str">
        <f>EDT!C3</f>
        <v>SERVICIOS TEMPORALES</v>
      </c>
      <c r="D3" s="14" t="str">
        <f>EDT!D3</f>
        <v>ENERGIA PROVISIONAL</v>
      </c>
      <c r="E3" s="14" t="str">
        <f>EDT!E3</f>
        <v>un</v>
      </c>
      <c r="F3" s="7">
        <f>EDT!F3</f>
        <v>1</v>
      </c>
      <c r="G3" s="10">
        <f>SUMIFS(APU_DETALLE!$J$2:$J$194,APU_DETALLE!$B$2:$B$194,$A3,APU_DETALLE!$E$2:$E$194,"Material")</f>
        <v>479</v>
      </c>
      <c r="H3" s="10">
        <f>SUMIFS(APU_DETALLE!$J$2:$J$194,APU_DETALLE!$B$2:$B$194,$A3,APU_DETALLE!$E$2:$E$194,"Mano Obra")</f>
        <v>50</v>
      </c>
      <c r="I3" s="10">
        <f>SUMIFS(APU_DETALLE!$J$2:$J$194,APU_DETALLE!$B$2:$B$194,$A3,APU_DETALLE!$E$2:$E$194,"Subcontrato")</f>
        <v>0</v>
      </c>
      <c r="J3" s="10">
        <f t="shared" ref="J3:J4" si="0">G3+H3+I3</f>
        <v>529</v>
      </c>
      <c r="K3" s="10">
        <v>479</v>
      </c>
      <c r="L3" s="10">
        <v>50</v>
      </c>
      <c r="M3" s="10">
        <v>0</v>
      </c>
      <c r="N3" s="10">
        <f t="shared" ref="N3:N9" si="1">K3+L3+M3</f>
        <v>529</v>
      </c>
    </row>
    <row r="4" spans="1:14" x14ac:dyDescent="0.35">
      <c r="A4" s="14" t="str">
        <f>EDT!A4</f>
        <v>EDT-PRE-003</v>
      </c>
      <c r="B4" s="14" t="str">
        <f>EDT!B4</f>
        <v>PRELIMINARES</v>
      </c>
      <c r="C4" s="14" t="str">
        <f>EDT!C4</f>
        <v>LIMPIEZA &amp; NIVELACION</v>
      </c>
      <c r="D4" s="14" t="str">
        <f>EDT!D4</f>
        <v>LIMPIEZA &amp; NIVELACION DEL TERRENO</v>
      </c>
      <c r="E4" s="14" t="str">
        <f>EDT!E4</f>
        <v>m2</v>
      </c>
      <c r="F4" s="7">
        <f>EDT!F4</f>
        <v>80</v>
      </c>
      <c r="G4" s="10">
        <f>SUMIFS(APU_DETALLE!$J$2:$J$194,APU_DETALLE!$B$2:$B$194,$A4,APU_DETALLE!$E$2:$E$194,"Material")</f>
        <v>0</v>
      </c>
      <c r="H4" s="10">
        <f>SUMIFS(APU_DETALLE!$J$2:$J$194,APU_DETALLE!$B$2:$B$194,$A4,APU_DETALLE!$E$2:$E$194,"Mano Obra")</f>
        <v>0</v>
      </c>
      <c r="I4" s="10">
        <f>SUMIFS(APU_DETALLE!$J$2:$J$194,APU_DETALLE!$B$2:$B$194,$A4,APU_DETALLE!$E$2:$E$194,"Subcontrato")</f>
        <v>1.44</v>
      </c>
      <c r="J4" s="10">
        <f t="shared" si="0"/>
        <v>1.44</v>
      </c>
      <c r="K4" s="10">
        <v>0</v>
      </c>
      <c r="L4" s="10">
        <v>0</v>
      </c>
      <c r="M4" s="10">
        <v>115.19999999999999</v>
      </c>
      <c r="N4" s="10">
        <f t="shared" si="1"/>
        <v>115.19999999999999</v>
      </c>
    </row>
    <row r="5" spans="1:14" x14ac:dyDescent="0.35">
      <c r="A5" s="14" t="str">
        <f>EDT!A5</f>
        <v>EDT-PRE-004</v>
      </c>
      <c r="B5" s="14" t="str">
        <f>EDT!B5</f>
        <v>PRELIMINARES</v>
      </c>
      <c r="C5" s="14" t="str">
        <f>EDT!C5</f>
        <v>BODEGA DE OBRA</v>
      </c>
      <c r="D5" s="14" t="str">
        <f>EDT!D5</f>
        <v>BODEGA DE OBRA</v>
      </c>
      <c r="E5" s="14" t="str">
        <f>EDT!E5</f>
        <v>un</v>
      </c>
      <c r="F5" s="7">
        <f>EDT!F5</f>
        <v>1</v>
      </c>
      <c r="G5" s="10">
        <f>SUMIFS(APU_DETALLE!$J$2:$J$194,APU_DETALLE!$B$2:$B$194,$A5,APU_DETALLE!$E$2:$E$194,"Material")</f>
        <v>1269.5089526411659</v>
      </c>
      <c r="H5" s="10">
        <f>SUMIFS(APU_DETALLE!$J$2:$J$194,APU_DETALLE!$B$2:$B$194,$A5,APU_DETALLE!$E$2:$E$194,"Mano Obra")</f>
        <v>60</v>
      </c>
      <c r="I5" s="10">
        <f>SUMIFS(APU_DETALLE!$J$2:$J$194,APU_DETALLE!$B$2:$B$194,$A5,APU_DETALLE!$E$2:$E$194,"Subcontrato")</f>
        <v>0</v>
      </c>
      <c r="J5" s="10">
        <f t="shared" ref="J5" si="2">G5+H5+I5</f>
        <v>1329.5089526411659</v>
      </c>
      <c r="K5" s="10">
        <v>1269.5089526411659</v>
      </c>
      <c r="L5" s="10">
        <v>60</v>
      </c>
      <c r="M5" s="10">
        <v>0</v>
      </c>
      <c r="N5" s="10">
        <f t="shared" si="1"/>
        <v>1329.5089526411659</v>
      </c>
    </row>
    <row r="6" spans="1:14" x14ac:dyDescent="0.35">
      <c r="A6" s="14" t="str">
        <f>EDT!A6</f>
        <v>EDT-PRE-005</v>
      </c>
      <c r="B6" s="14" t="str">
        <f>EDT!B6</f>
        <v>PRELIMINARES</v>
      </c>
      <c r="C6" s="14" t="str">
        <f>EDT!C6</f>
        <v>TRAZADO</v>
      </c>
      <c r="D6" s="14" t="str">
        <f>EDT!D6</f>
        <v>TRAZADO</v>
      </c>
      <c r="E6" s="14" t="str">
        <f>EDT!E6</f>
        <v>ejes</v>
      </c>
      <c r="F6" s="7">
        <f>EDT!F6</f>
        <v>8</v>
      </c>
      <c r="G6" s="10">
        <f>SUMIFS(APU_DETALLE!$J$2:$J$194,APU_DETALLE!$B$2:$B$194,$A6,APU_DETALLE!$E$2:$E$194,"Material")</f>
        <v>15</v>
      </c>
      <c r="H6" s="10">
        <f>SUMIFS(APU_DETALLE!$J$2:$J$194,APU_DETALLE!$B$2:$B$194,$A6,APU_DETALLE!$E$2:$E$194,"Mano Obra")</f>
        <v>9</v>
      </c>
      <c r="I6" s="10">
        <f>SUMIFS(APU_DETALLE!$J$2:$J$194,APU_DETALLE!$B$2:$B$194,$A6,APU_DETALLE!$E$2:$E$194,"Subcontrato")</f>
        <v>0</v>
      </c>
      <c r="J6" s="10">
        <f t="shared" ref="J6" si="3">G6+H6+I6</f>
        <v>24</v>
      </c>
      <c r="K6" s="10">
        <v>120</v>
      </c>
      <c r="L6" s="10">
        <v>72</v>
      </c>
      <c r="M6" s="10">
        <v>0</v>
      </c>
      <c r="N6" s="10">
        <f t="shared" si="1"/>
        <v>192</v>
      </c>
    </row>
    <row r="7" spans="1:14" x14ac:dyDescent="0.35">
      <c r="A7" s="14" t="str">
        <f>EDT!A7</f>
        <v>EDT-FUN-001</v>
      </c>
      <c r="B7" s="14" t="str">
        <f>EDT!B7</f>
        <v>FUNDACIONES</v>
      </c>
      <c r="C7" s="14" t="str">
        <f>EDT!C7</f>
        <v>CIMENTACION</v>
      </c>
      <c r="D7" s="14" t="str">
        <f>EDT!D7</f>
        <v>PLACA CORRIDA</v>
      </c>
      <c r="E7" s="14" t="str">
        <f>EDT!E7</f>
        <v>ml</v>
      </c>
      <c r="F7" s="7">
        <f>EDT!F7</f>
        <v>40</v>
      </c>
      <c r="G7" s="10">
        <f>SUMIFS(APU_DETALLE!$J$2:$J$194,APU_DETALLE!$B$2:$B$194,$A7,APU_DETALLE!$E$2:$E$194,"Material")</f>
        <v>20.800169999999998</v>
      </c>
      <c r="H7" s="10">
        <f>SUMIFS(APU_DETALLE!$J$2:$J$194,APU_DETALLE!$B$2:$B$194,$A7,APU_DETALLE!$E$2:$E$194,"Mano Obra")</f>
        <v>5.62622</v>
      </c>
      <c r="I7" s="10">
        <f>SUMIFS(APU_DETALLE!$J$2:$J$194,APU_DETALLE!$B$2:$B$194,$A7,APU_DETALLE!$E$2:$E$194,"Subcontrato")</f>
        <v>8.7749999999999986</v>
      </c>
      <c r="J7" s="10">
        <f t="shared" ref="J7" si="4">G7+H7+I7</f>
        <v>35.201389999999996</v>
      </c>
      <c r="K7" s="10">
        <v>832.00679999999988</v>
      </c>
      <c r="L7" s="10">
        <v>225.0488</v>
      </c>
      <c r="M7" s="10">
        <v>350.99999999999994</v>
      </c>
      <c r="N7" s="10">
        <f t="shared" ref="N7" si="5">K7+L7+M7</f>
        <v>1408.0555999999999</v>
      </c>
    </row>
    <row r="8" spans="1:14" x14ac:dyDescent="0.35">
      <c r="A8" s="14" t="str">
        <f>EDT!A8</f>
        <v>EDT-FUN-002</v>
      </c>
      <c r="B8" s="14" t="str">
        <f>EDT!B8</f>
        <v>FUNDACIONES</v>
      </c>
      <c r="C8" s="14" t="str">
        <f>EDT!C8</f>
        <v>CIMENTACION</v>
      </c>
      <c r="D8" s="14" t="str">
        <f>EDT!D8</f>
        <v>SOBRECIMIENTO</v>
      </c>
      <c r="E8" s="14" t="str">
        <f>EDT!E8</f>
        <v>ml</v>
      </c>
      <c r="F8" s="7">
        <f>EDT!F8</f>
        <v>40</v>
      </c>
      <c r="G8" s="10">
        <f>SUMIFS(APU_DETALLE!$J$2:$J$194,APU_DETALLE!$B$2:$B$194,$A8,APU_DETALLE!$E$2:$E$194,"Material")</f>
        <v>5.6800000000000015</v>
      </c>
      <c r="H8" s="10">
        <f>SUMIFS(APU_DETALLE!$J$2:$J$194,APU_DETALLE!$B$2:$B$194,$A8,APU_DETALLE!$E$2:$E$194,"Mano Obra")</f>
        <v>2.8600000000000008</v>
      </c>
      <c r="I8" s="10">
        <f>SUMIFS(APU_DETALLE!$J$2:$J$194,APU_DETALLE!$B$2:$B$194,$A8,APU_DETALLE!$E$2:$E$194,"Subcontrato")</f>
        <v>0</v>
      </c>
      <c r="J8" s="10">
        <f t="shared" ref="J8" si="6">G8+H8+I8</f>
        <v>8.5400000000000027</v>
      </c>
      <c r="K8" s="10">
        <v>227.20000000000005</v>
      </c>
      <c r="L8" s="10">
        <v>114.40000000000003</v>
      </c>
      <c r="M8" s="10">
        <v>0</v>
      </c>
      <c r="N8" s="10">
        <f t="shared" ref="N8" si="7">K8+L8+M8</f>
        <v>341.60000000000008</v>
      </c>
    </row>
    <row r="9" spans="1:14" x14ac:dyDescent="0.35">
      <c r="A9" s="14"/>
      <c r="B9" s="14"/>
      <c r="C9" s="14"/>
      <c r="D9" s="14"/>
      <c r="E9" s="14"/>
      <c r="F9" s="7"/>
      <c r="G9" s="10"/>
      <c r="H9" s="10"/>
      <c r="I9" s="10"/>
      <c r="J9" s="10"/>
      <c r="K9" s="10">
        <v>0</v>
      </c>
      <c r="L9" s="10">
        <v>0</v>
      </c>
      <c r="M9" s="10">
        <v>0</v>
      </c>
      <c r="N9" s="10">
        <f t="shared" si="1"/>
        <v>0</v>
      </c>
    </row>
    <row r="10" spans="1:14" x14ac:dyDescent="0.35">
      <c r="A10" s="15" t="s">
        <v>169</v>
      </c>
      <c r="B10" s="15"/>
      <c r="C10" s="15"/>
      <c r="D10" s="15"/>
      <c r="E10" s="15"/>
      <c r="F10" s="15"/>
      <c r="G10" s="20">
        <f>SUM(G2:G9)</f>
        <v>1941.6724559744994</v>
      </c>
      <c r="H10" s="20">
        <f t="shared" ref="H10:J10" si="8">SUM(H2:H9)</f>
        <v>172.48622</v>
      </c>
      <c r="I10" s="20">
        <f t="shared" si="8"/>
        <v>10.214999999999998</v>
      </c>
      <c r="J10" s="20">
        <f t="shared" si="8"/>
        <v>2124.3736759744997</v>
      </c>
      <c r="K10" s="20">
        <f>SUM(_xlfn.ANCHORARRAY(K2))</f>
        <v>3079.399085974499</v>
      </c>
      <c r="L10" s="20">
        <f>SUM(_xlfn.ANCHORARRAY(L2))</f>
        <v>566.44880000000012</v>
      </c>
      <c r="M10" s="20">
        <f>SUM(_xlfn.ANCHORARRAY(M2))</f>
        <v>466.19999999999993</v>
      </c>
      <c r="N10" s="20">
        <f>SUM(N2:N9)</f>
        <v>4112.0478859744999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showGridLines="0" workbookViewId="0">
      <selection activeCell="C17" sqref="C17"/>
    </sheetView>
  </sheetViews>
  <sheetFormatPr baseColWidth="10" defaultColWidth="8.7265625" defaultRowHeight="14.5" x14ac:dyDescent="0.35"/>
  <cols>
    <col min="1" max="1" width="24" customWidth="1"/>
    <col min="2" max="2" width="18" customWidth="1"/>
    <col min="3" max="3" width="12" customWidth="1"/>
    <col min="4" max="4" width="30" customWidth="1"/>
  </cols>
  <sheetData>
    <row r="1" spans="1:4" ht="19.5" x14ac:dyDescent="0.45">
      <c r="A1" s="54" t="s">
        <v>170</v>
      </c>
      <c r="B1" s="53"/>
      <c r="C1" s="53"/>
      <c r="D1" s="53"/>
    </row>
    <row r="3" spans="1:4" x14ac:dyDescent="0.35">
      <c r="A3" s="3" t="s">
        <v>171</v>
      </c>
      <c r="B3" s="3" t="s">
        <v>172</v>
      </c>
      <c r="C3" s="3" t="s">
        <v>173</v>
      </c>
      <c r="D3" s="3" t="s">
        <v>174</v>
      </c>
    </row>
    <row r="4" spans="1:4" x14ac:dyDescent="0.35">
      <c r="A4" s="4" t="s">
        <v>175</v>
      </c>
      <c r="B4" s="16">
        <f>COUNTA(EDT!$A$2:$A$200)</f>
        <v>8</v>
      </c>
      <c r="C4" s="17" t="str">
        <f t="shared" ref="C4:C8" si="0">IF(B4&gt;0,"OK","REVISAR")</f>
        <v>OK</v>
      </c>
      <c r="D4" s="18" t="s">
        <v>176</v>
      </c>
    </row>
    <row r="5" spans="1:4" x14ac:dyDescent="0.35">
      <c r="A5" s="4" t="s">
        <v>177</v>
      </c>
      <c r="B5" s="16">
        <f>COUNTA(PARAMETROS!$A$2:$A$198)</f>
        <v>33</v>
      </c>
      <c r="C5" s="17" t="str">
        <f t="shared" si="0"/>
        <v>OK</v>
      </c>
      <c r="D5" s="18" t="s">
        <v>178</v>
      </c>
    </row>
    <row r="6" spans="1:4" x14ac:dyDescent="0.35">
      <c r="A6" s="4" t="s">
        <v>179</v>
      </c>
      <c r="B6" s="16">
        <f>COUNTA(PAQUETE_PK!$C$2:$C$198)</f>
        <v>23</v>
      </c>
      <c r="C6" s="17" t="str">
        <f t="shared" si="0"/>
        <v>OK</v>
      </c>
      <c r="D6" s="18" t="s">
        <v>180</v>
      </c>
    </row>
    <row r="7" spans="1:4" x14ac:dyDescent="0.35">
      <c r="A7" s="4" t="s">
        <v>181</v>
      </c>
      <c r="B7" s="16">
        <f>COUNTA(RENDIMIENTOS_BASE!$E$2:$E$200)</f>
        <v>73</v>
      </c>
      <c r="C7" s="17" t="str">
        <f t="shared" si="0"/>
        <v>OK</v>
      </c>
      <c r="D7" s="18" t="s">
        <v>182</v>
      </c>
    </row>
    <row r="8" spans="1:4" x14ac:dyDescent="0.35">
      <c r="A8" s="4" t="s">
        <v>183</v>
      </c>
      <c r="B8" s="16">
        <f>COUNTA(APU_DETALLE!$A$2:$A$194)</f>
        <v>64</v>
      </c>
      <c r="C8" s="17" t="str">
        <f t="shared" si="0"/>
        <v>OK</v>
      </c>
      <c r="D8" s="18" t="s">
        <v>184</v>
      </c>
    </row>
    <row r="9" spans="1:4" x14ac:dyDescent="0.35">
      <c r="A9" s="4" t="s">
        <v>185</v>
      </c>
      <c r="B9" s="19">
        <f>SUMIFS(RESUMEN_EDT!$J$2:$J$206,RESUMEN_EDT!$A$2:$A$206,"&lt;&gt;TOTAL",RESUMEN_EDT!$A$2:$A$206,"&lt;&gt;")</f>
        <v>2124.3736759744997</v>
      </c>
      <c r="C9" s="17" t="str">
        <f>IF(B9&gt;=0,"OK","REVISAR")</f>
        <v>OK</v>
      </c>
      <c r="D9" s="18" t="s">
        <v>186</v>
      </c>
    </row>
    <row r="10" spans="1:4" x14ac:dyDescent="0.35">
      <c r="A10" s="4" t="s">
        <v>187</v>
      </c>
      <c r="B10" s="16">
        <f>COUNTIF(RECURSOS_PRECIOS!$E$2:$E$201,0)</f>
        <v>0</v>
      </c>
      <c r="C10" s="17" t="str">
        <f>IF(B10=0,"OK","REVISAR")</f>
        <v>OK</v>
      </c>
      <c r="D10" s="18" t="s">
        <v>188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D95A-727A-49BF-ADFE-DBC431F00D1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GUIA_MVP</vt:lpstr>
      <vt:lpstr>EDT</vt:lpstr>
      <vt:lpstr>PARAMETROS</vt:lpstr>
      <vt:lpstr>VARIABLES_CALCULADAS</vt:lpstr>
      <vt:lpstr>PAQUETE_PK</vt:lpstr>
      <vt:lpstr>RENDIMIENTOS_BASE</vt:lpstr>
      <vt:lpstr>RECURSOS_PRECIOS</vt:lpstr>
      <vt:lpstr>APU_DETALLE</vt:lpstr>
      <vt:lpstr>RESUMEN_EDT</vt:lpstr>
      <vt:lpstr>CONTROL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Mata</cp:lastModifiedBy>
  <dcterms:modified xsi:type="dcterms:W3CDTF">2026-04-10T13:54:29Z</dcterms:modified>
</cp:coreProperties>
</file>